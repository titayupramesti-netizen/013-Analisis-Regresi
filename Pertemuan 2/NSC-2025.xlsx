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ita\Downloads\"/>
    </mc:Choice>
  </mc:AlternateContent>
  <xr:revisionPtr revIDLastSave="0" documentId="13_ncr:1_{01219796-D0ED-491E-9CA5-C86412B1EAF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2" sheetId="6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6" l="1"/>
  <c r="J16" i="6"/>
  <c r="J55" i="6"/>
  <c r="J72" i="6"/>
  <c r="J73" i="6"/>
  <c r="J75" i="6"/>
  <c r="J76" i="6"/>
  <c r="J77" i="6"/>
  <c r="J78" i="6"/>
  <c r="J93" i="6"/>
  <c r="J95" i="6"/>
  <c r="J96" i="6"/>
  <c r="J97" i="6"/>
  <c r="J98" i="6"/>
  <c r="J99" i="6"/>
  <c r="J103" i="6"/>
  <c r="J115" i="6"/>
  <c r="J116" i="6"/>
  <c r="I3" i="6"/>
  <c r="I4" i="6"/>
  <c r="I5" i="6"/>
  <c r="I15" i="6"/>
  <c r="I16" i="6"/>
  <c r="I17" i="6"/>
  <c r="I18" i="6"/>
  <c r="I19" i="6"/>
  <c r="I48" i="6"/>
  <c r="I75" i="6"/>
  <c r="I76" i="6"/>
  <c r="I77" i="6"/>
  <c r="I95" i="6"/>
  <c r="I96" i="6"/>
  <c r="I97" i="6"/>
  <c r="I98" i="6"/>
  <c r="I99" i="6"/>
  <c r="I103" i="6"/>
  <c r="I104" i="6"/>
  <c r="I105" i="6"/>
  <c r="I115" i="6"/>
  <c r="I116" i="6"/>
  <c r="I117" i="6"/>
  <c r="H3" i="6"/>
  <c r="H4" i="6"/>
  <c r="H5" i="6"/>
  <c r="H6" i="6"/>
  <c r="H7" i="6"/>
  <c r="I7" i="6" s="1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I20" i="6" s="1"/>
  <c r="H21" i="6"/>
  <c r="H22" i="6"/>
  <c r="H23" i="6"/>
  <c r="I23" i="6" s="1"/>
  <c r="H24" i="6"/>
  <c r="H25" i="6"/>
  <c r="H26" i="6"/>
  <c r="I26" i="6" s="1"/>
  <c r="H27" i="6"/>
  <c r="I27" i="6" s="1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I40" i="6" s="1"/>
  <c r="H41" i="6"/>
  <c r="H42" i="6"/>
  <c r="H43" i="6"/>
  <c r="H44" i="6"/>
  <c r="H45" i="6"/>
  <c r="H46" i="6"/>
  <c r="H47" i="6"/>
  <c r="I47" i="6" s="1"/>
  <c r="H48" i="6"/>
  <c r="H49" i="6"/>
  <c r="I49" i="6" s="1"/>
  <c r="H50" i="6"/>
  <c r="H51" i="6"/>
  <c r="H52" i="6"/>
  <c r="H53" i="6"/>
  <c r="H54" i="6"/>
  <c r="H55" i="6"/>
  <c r="H56" i="6"/>
  <c r="H57" i="6"/>
  <c r="H58" i="6"/>
  <c r="H59" i="6"/>
  <c r="H60" i="6"/>
  <c r="I60" i="6" s="1"/>
  <c r="H61" i="6"/>
  <c r="H62" i="6"/>
  <c r="H63" i="6"/>
  <c r="H64" i="6"/>
  <c r="H65" i="6"/>
  <c r="H66" i="6"/>
  <c r="H67" i="6"/>
  <c r="I67" i="6" s="1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I80" i="6" s="1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I100" i="6" s="1"/>
  <c r="H101" i="6"/>
  <c r="H102" i="6"/>
  <c r="H103" i="6"/>
  <c r="H104" i="6"/>
  <c r="H105" i="6"/>
  <c r="H106" i="6"/>
  <c r="H107" i="6"/>
  <c r="I107" i="6" s="1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I120" i="6" s="1"/>
  <c r="H2" i="6"/>
  <c r="G3" i="6"/>
  <c r="J3" i="6" s="1"/>
  <c r="G4" i="6"/>
  <c r="J4" i="6" s="1"/>
  <c r="G5" i="6"/>
  <c r="J5" i="6" s="1"/>
  <c r="G6" i="6"/>
  <c r="J6" i="6" s="1"/>
  <c r="G7" i="6"/>
  <c r="J7" i="6" s="1"/>
  <c r="G8" i="6"/>
  <c r="G9" i="6"/>
  <c r="G10" i="6"/>
  <c r="G11" i="6"/>
  <c r="G12" i="6"/>
  <c r="J12" i="6" s="1"/>
  <c r="G13" i="6"/>
  <c r="J13" i="6" s="1"/>
  <c r="G14" i="6"/>
  <c r="J14" i="6" s="1"/>
  <c r="G15" i="6"/>
  <c r="G16" i="6"/>
  <c r="G17" i="6"/>
  <c r="J17" i="6" s="1"/>
  <c r="G18" i="6"/>
  <c r="J18" i="6" s="1"/>
  <c r="G19" i="6"/>
  <c r="J19" i="6" s="1"/>
  <c r="G20" i="6"/>
  <c r="J20" i="6" s="1"/>
  <c r="G21" i="6"/>
  <c r="J21" i="6" s="1"/>
  <c r="G22" i="6"/>
  <c r="J22" i="6" s="1"/>
  <c r="G23" i="6"/>
  <c r="J23" i="6" s="1"/>
  <c r="G24" i="6"/>
  <c r="J24" i="6" s="1"/>
  <c r="G25" i="6"/>
  <c r="G26" i="6"/>
  <c r="J26" i="6" s="1"/>
  <c r="G27" i="6"/>
  <c r="J27" i="6" s="1"/>
  <c r="G28" i="6"/>
  <c r="G29" i="6"/>
  <c r="G30" i="6"/>
  <c r="G31" i="6"/>
  <c r="G32" i="6"/>
  <c r="G33" i="6"/>
  <c r="J33" i="6" s="1"/>
  <c r="G34" i="6"/>
  <c r="J34" i="6" s="1"/>
  <c r="G35" i="6"/>
  <c r="J35" i="6" s="1"/>
  <c r="G36" i="6"/>
  <c r="J36" i="6" s="1"/>
  <c r="G37" i="6"/>
  <c r="J37" i="6" s="1"/>
  <c r="G38" i="6"/>
  <c r="J38" i="6" s="1"/>
  <c r="G39" i="6"/>
  <c r="J39" i="6" s="1"/>
  <c r="G40" i="6"/>
  <c r="J40" i="6" s="1"/>
  <c r="G41" i="6"/>
  <c r="J41" i="6" s="1"/>
  <c r="G42" i="6"/>
  <c r="J42" i="6" s="1"/>
  <c r="G43" i="6"/>
  <c r="J43" i="6" s="1"/>
  <c r="G44" i="6"/>
  <c r="G45" i="6"/>
  <c r="G46" i="6"/>
  <c r="J46" i="6" s="1"/>
  <c r="G47" i="6"/>
  <c r="J47" i="6" s="1"/>
  <c r="G48" i="6"/>
  <c r="J48" i="6" s="1"/>
  <c r="G49" i="6"/>
  <c r="J49" i="6" s="1"/>
  <c r="G50" i="6"/>
  <c r="G51" i="6"/>
  <c r="J51" i="6" s="1"/>
  <c r="G52" i="6"/>
  <c r="J52" i="6" s="1"/>
  <c r="G53" i="6"/>
  <c r="J53" i="6" s="1"/>
  <c r="G54" i="6"/>
  <c r="J54" i="6" s="1"/>
  <c r="G55" i="6"/>
  <c r="I55" i="6" s="1"/>
  <c r="G56" i="6"/>
  <c r="J56" i="6" s="1"/>
  <c r="G57" i="6"/>
  <c r="J57" i="6" s="1"/>
  <c r="G58" i="6"/>
  <c r="J58" i="6" s="1"/>
  <c r="G59" i="6"/>
  <c r="J59" i="6" s="1"/>
  <c r="G60" i="6"/>
  <c r="J60" i="6" s="1"/>
  <c r="G61" i="6"/>
  <c r="J61" i="6" s="1"/>
  <c r="G62" i="6"/>
  <c r="J62" i="6" s="1"/>
  <c r="G63" i="6"/>
  <c r="J63" i="6" s="1"/>
  <c r="G64" i="6"/>
  <c r="G65" i="6"/>
  <c r="G66" i="6"/>
  <c r="J66" i="6" s="1"/>
  <c r="G67" i="6"/>
  <c r="J67" i="6" s="1"/>
  <c r="G68" i="6"/>
  <c r="G69" i="6"/>
  <c r="G70" i="6"/>
  <c r="G71" i="6"/>
  <c r="G72" i="6"/>
  <c r="I72" i="6" s="1"/>
  <c r="G73" i="6"/>
  <c r="I73" i="6" s="1"/>
  <c r="G74" i="6"/>
  <c r="J74" i="6" s="1"/>
  <c r="G75" i="6"/>
  <c r="G76" i="6"/>
  <c r="G77" i="6"/>
  <c r="G78" i="6"/>
  <c r="I78" i="6" s="1"/>
  <c r="G79" i="6"/>
  <c r="J79" i="6" s="1"/>
  <c r="G80" i="6"/>
  <c r="J80" i="6" s="1"/>
  <c r="G81" i="6"/>
  <c r="J81" i="6" s="1"/>
  <c r="G82" i="6"/>
  <c r="J82" i="6" s="1"/>
  <c r="G83" i="6"/>
  <c r="G84" i="6"/>
  <c r="G85" i="6"/>
  <c r="G86" i="6"/>
  <c r="G87" i="6"/>
  <c r="J87" i="6" s="1"/>
  <c r="G88" i="6"/>
  <c r="G89" i="6"/>
  <c r="G90" i="6"/>
  <c r="G91" i="6"/>
  <c r="G92" i="6"/>
  <c r="J92" i="6" s="1"/>
  <c r="G93" i="6"/>
  <c r="I93" i="6" s="1"/>
  <c r="G94" i="6"/>
  <c r="J94" i="6" s="1"/>
  <c r="G95" i="6"/>
  <c r="G96" i="6"/>
  <c r="G97" i="6"/>
  <c r="G98" i="6"/>
  <c r="G99" i="6"/>
  <c r="G100" i="6"/>
  <c r="J100" i="6" s="1"/>
  <c r="G101" i="6"/>
  <c r="J101" i="6" s="1"/>
  <c r="G102" i="6"/>
  <c r="J102" i="6" s="1"/>
  <c r="G103" i="6"/>
  <c r="G104" i="6"/>
  <c r="J104" i="6" s="1"/>
  <c r="G105" i="6"/>
  <c r="J105" i="6" s="1"/>
  <c r="G106" i="6"/>
  <c r="J106" i="6" s="1"/>
  <c r="G107" i="6"/>
  <c r="J107" i="6" s="1"/>
  <c r="G108" i="6"/>
  <c r="G109" i="6"/>
  <c r="G110" i="6"/>
  <c r="G111" i="6"/>
  <c r="G112" i="6"/>
  <c r="I112" i="6" s="1"/>
  <c r="G113" i="6"/>
  <c r="I113" i="6" s="1"/>
  <c r="G114" i="6"/>
  <c r="I114" i="6" s="1"/>
  <c r="G115" i="6"/>
  <c r="G116" i="6"/>
  <c r="G117" i="6"/>
  <c r="J117" i="6" s="1"/>
  <c r="G118" i="6"/>
  <c r="J118" i="6" s="1"/>
  <c r="G119" i="6"/>
  <c r="J119" i="6" s="1"/>
  <c r="G120" i="6"/>
  <c r="J120" i="6" s="1"/>
  <c r="G2" i="6"/>
  <c r="J2" i="6" s="1"/>
  <c r="C121" i="6"/>
  <c r="B121" i="6"/>
  <c r="I54" i="6" l="1"/>
  <c r="I53" i="6"/>
  <c r="I32" i="6"/>
  <c r="I52" i="6"/>
  <c r="J114" i="6"/>
  <c r="I71" i="6"/>
  <c r="I31" i="6"/>
  <c r="J113" i="6"/>
  <c r="I30" i="6"/>
  <c r="J112" i="6"/>
  <c r="I29" i="6"/>
  <c r="I28" i="6"/>
  <c r="J32" i="6"/>
  <c r="I94" i="6"/>
  <c r="J28" i="6"/>
  <c r="I14" i="6"/>
  <c r="I92" i="6"/>
  <c r="I13" i="6"/>
  <c r="I119" i="6"/>
  <c r="I79" i="6"/>
  <c r="I12" i="6"/>
  <c r="I118" i="6"/>
  <c r="I6" i="6"/>
  <c r="I74" i="6"/>
  <c r="I106" i="6"/>
  <c r="J31" i="6"/>
  <c r="J30" i="6"/>
  <c r="I51" i="6"/>
  <c r="J29" i="6"/>
  <c r="J50" i="6"/>
  <c r="I50" i="6"/>
  <c r="I111" i="6"/>
  <c r="J111" i="6"/>
  <c r="I70" i="6"/>
  <c r="J70" i="6"/>
  <c r="I9" i="6"/>
  <c r="I68" i="6"/>
  <c r="J68" i="6"/>
  <c r="I85" i="6"/>
  <c r="J85" i="6"/>
  <c r="I25" i="6"/>
  <c r="J25" i="6"/>
  <c r="J64" i="6"/>
  <c r="I64" i="6"/>
  <c r="J44" i="6"/>
  <c r="I44" i="6"/>
  <c r="I24" i="6"/>
  <c r="I110" i="6"/>
  <c r="J110" i="6"/>
  <c r="J10" i="6"/>
  <c r="I10" i="6"/>
  <c r="I89" i="6"/>
  <c r="J89" i="6"/>
  <c r="I88" i="6"/>
  <c r="J88" i="6"/>
  <c r="I8" i="6"/>
  <c r="I86" i="6"/>
  <c r="J65" i="6"/>
  <c r="I65" i="6"/>
  <c r="J45" i="6"/>
  <c r="J121" i="6" s="1"/>
  <c r="I45" i="6"/>
  <c r="I84" i="6"/>
  <c r="J84" i="6"/>
  <c r="I83" i="6"/>
  <c r="J71" i="6"/>
  <c r="J9" i="6"/>
  <c r="J8" i="6"/>
  <c r="J11" i="6"/>
  <c r="I11" i="6"/>
  <c r="I109" i="6"/>
  <c r="J109" i="6"/>
  <c r="I91" i="6"/>
  <c r="J91" i="6"/>
  <c r="I90" i="6"/>
  <c r="J90" i="6"/>
  <c r="I69" i="6"/>
  <c r="J69" i="6"/>
  <c r="I108" i="6"/>
  <c r="J108" i="6"/>
  <c r="I46" i="6"/>
  <c r="I43" i="6"/>
  <c r="I66" i="6"/>
  <c r="I39" i="6"/>
  <c r="I38" i="6"/>
  <c r="I37" i="6"/>
  <c r="I63" i="6"/>
  <c r="I36" i="6"/>
  <c r="J86" i="6"/>
  <c r="I59" i="6"/>
  <c r="I35" i="6"/>
  <c r="I58" i="6"/>
  <c r="I34" i="6"/>
  <c r="I57" i="6"/>
  <c r="I33" i="6"/>
  <c r="J83" i="6"/>
  <c r="I56" i="6"/>
  <c r="I87" i="6"/>
  <c r="I102" i="6"/>
  <c r="I82" i="6"/>
  <c r="I62" i="6"/>
  <c r="I42" i="6"/>
  <c r="I22" i="6"/>
  <c r="I2" i="6"/>
  <c r="I101" i="6"/>
  <c r="I81" i="6"/>
  <c r="I61" i="6"/>
  <c r="I41" i="6"/>
  <c r="I21" i="6"/>
  <c r="I121" i="6" l="1"/>
  <c r="J123" i="6" s="1"/>
  <c r="J124" i="6" s="1"/>
</calcChain>
</file>

<file path=xl/sharedStrings.xml><?xml version="1.0" encoding="utf-8"?>
<sst xmlns="http://schemas.openxmlformats.org/spreadsheetml/2006/main" count="2276" uniqueCount="1713">
  <si>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</si>
  <si>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</si>
  <si>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</si>
  <si>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</si>
  <si>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</si>
  <si>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</si>
  <si>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</si>
  <si>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</si>
  <si>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</si>
  <si>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</si>
  <si>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</si>
  <si>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</si>
  <si>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</si>
  <si>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</si>
  <si>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</si>
  <si>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</si>
  <si>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</si>
  <si>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</si>
  <si>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</si>
  <si>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</si>
  <si>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</si>
  <si>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</si>
  <si>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</si>
  <si>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</si>
  <si>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</si>
  <si>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</si>
  <si>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</si>
  <si>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</si>
  <si>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</si>
  <si>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</si>
  <si>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</si>
  <si>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</si>
  <si>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</si>
  <si>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</si>
  <si>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</si>
  <si>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</si>
  <si>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</si>
  <si>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</si>
  <si>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</si>
  <si>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</si>
  <si>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</si>
  <si>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</si>
  <si>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</si>
  <si>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</si>
  <si>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</si>
  <si>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</si>
  <si>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</si>
  <si>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</si>
  <si>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</si>
  <si>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</si>
  <si>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</si>
  <si>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</si>
  <si>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</si>
  <si>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</si>
  <si>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</si>
  <si>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</si>
  <si>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</si>
  <si>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</si>
  <si>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</si>
  <si>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</si>
  <si>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</si>
  <si>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</si>
  <si>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</si>
  <si>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</si>
  <si>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</si>
  <si>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</si>
  <si>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</si>
  <si>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</si>
  <si>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</si>
  <si>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</si>
  <si>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</si>
  <si>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</si>
  <si>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</si>
  <si>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</si>
  <si>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</si>
  <si>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</si>
  <si>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</si>
  <si>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</si>
  <si>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</si>
  <si>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</si>
  <si>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</si>
  <si>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</si>
  <si>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</si>
  <si>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</si>
  <si>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</si>
  <si>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</si>
  <si>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</si>
  <si>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</si>
  <si>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</si>
  <si>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</si>
  <si>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</si>
  <si>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</si>
  <si>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</si>
  <si>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</si>
  <si>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</si>
  <si>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</si>
  <si>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</si>
  <si>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</si>
  <si>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</si>
  <si>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</si>
  <si>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</si>
  <si>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</si>
  <si>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</si>
  <si>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</si>
  <si>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</si>
  <si>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</si>
  <si>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</si>
  <si>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</si>
  <si>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</si>
  <si>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</si>
  <si>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</si>
  <si>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</si>
  <si>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</si>
  <si>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</si>
  <si>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</si>
  <si>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</si>
  <si>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</si>
  <si>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</si>
  <si>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</si>
  <si>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</si>
  <si>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</si>
  <si>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</si>
  <si>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</si>
  <si>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</si>
  <si>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</si>
  <si>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</si>
  <si>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</si>
  <si>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</si>
  <si>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</si>
  <si>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</si>
  <si>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</si>
  <si>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</si>
  <si>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</si>
  <si>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</si>
  <si>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</si>
  <si>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</si>
  <si>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</si>
  <si>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</si>
  <si>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</si>
  <si>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</si>
  <si>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</si>
  <si>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</si>
  <si>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</si>
  <si>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</si>
  <si>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</si>
  <si>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</si>
  <si>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</si>
  <si>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</si>
  <si>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</si>
  <si>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</si>
  <si>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</si>
  <si>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</si>
  <si>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</si>
  <si>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</si>
  <si>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</si>
  <si>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</si>
  <si>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</si>
  <si>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</si>
  <si>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</si>
  <si>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</si>
  <si>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</si>
  <si>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</si>
  <si>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</si>
  <si>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</si>
  <si>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</si>
  <si>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</si>
  <si>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</si>
  <si>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</si>
  <si>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</si>
  <si>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</si>
  <si>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</si>
  <si>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</si>
  <si>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</si>
  <si>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</si>
  <si>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</si>
  <si>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</si>
  <si>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</si>
  <si>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</si>
  <si>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</si>
  <si>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</si>
  <si>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</si>
  <si>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</si>
  <si>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</si>
  <si>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</si>
  <si>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</si>
  <si>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</si>
  <si>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</si>
  <si>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</si>
  <si>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</si>
  <si>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</si>
  <si>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</si>
  <si>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</si>
  <si>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</si>
  <si>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</si>
  <si>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</si>
  <si>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</si>
  <si>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</si>
  <si>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</si>
  <si>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</si>
  <si>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</si>
  <si>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</si>
  <si>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</si>
  <si>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</si>
  <si>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</si>
  <si>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</si>
  <si>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</si>
  <si>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</si>
  <si>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</si>
  <si>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</si>
  <si>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</si>
  <si>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</si>
  <si>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</si>
  <si>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</si>
  <si>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</si>
  <si>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</si>
  <si>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</si>
  <si>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</si>
  <si>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</si>
  <si>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</si>
  <si>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</si>
  <si>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</si>
  <si>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</si>
  <si>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</si>
  <si>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</si>
  <si>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</si>
  <si>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</si>
  <si>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</si>
  <si>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</si>
  <si>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</si>
  <si>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</si>
  <si>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</si>
  <si>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</si>
  <si>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</si>
  <si>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</si>
  <si>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</si>
  <si>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</si>
  <si>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</si>
  <si>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</si>
  <si>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</si>
  <si>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</si>
  <si>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</si>
  <si>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</si>
  <si>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</si>
  <si>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</si>
  <si>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</si>
  <si>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</si>
  <si>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</si>
  <si>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</si>
  <si>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</si>
  <si>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</si>
  <si>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</si>
  <si>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</si>
  <si>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</si>
  <si>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</si>
  <si>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</si>
  <si>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</si>
  <si>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</si>
  <si>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</si>
  <si>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</si>
  <si>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</si>
  <si>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</si>
  <si>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</si>
  <si>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</si>
  <si>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</si>
  <si>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</si>
  <si>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</si>
  <si>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</si>
  <si>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</si>
  <si>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</si>
  <si>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</si>
  <si>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</si>
  <si>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</si>
  <si>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</si>
  <si>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</si>
  <si>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</si>
  <si>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</si>
  <si>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</si>
  <si>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</si>
  <si>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</si>
  <si>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</si>
  <si>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</si>
  <si>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</si>
  <si>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</si>
  <si>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</si>
  <si>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</si>
  <si>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</si>
  <si>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</si>
  <si>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</si>
  <si>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</si>
  <si>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</si>
  <si>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</si>
  <si>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</si>
  <si>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</si>
  <si>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</si>
  <si>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</si>
  <si>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</si>
  <si>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</si>
  <si>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</si>
  <si>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</si>
  <si>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</si>
  <si>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</si>
  <si>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</si>
  <si>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</si>
  <si>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</si>
  <si>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</si>
  <si>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</si>
  <si>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</si>
  <si>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</si>
  <si>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</si>
  <si>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</si>
  <si>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</si>
  <si>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</si>
  <si>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</si>
  <si>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</si>
  <si>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</si>
  <si>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</si>
  <si>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</si>
  <si>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</si>
  <si>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</si>
  <si>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</si>
  <si>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</si>
  <si>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</si>
  <si>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</si>
  <si>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</si>
  <si>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</si>
  <si>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</si>
  <si>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</si>
  <si>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</si>
  <si>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</si>
  <si>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</si>
  <si>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</si>
  <si>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</si>
  <si>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</si>
  <si>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</si>
  <si>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</si>
  <si>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</si>
  <si>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</si>
  <si>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</si>
  <si>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</si>
  <si>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</si>
  <si>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</si>
  <si>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</si>
  <si>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</si>
  <si>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</si>
  <si>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</si>
  <si>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</si>
  <si>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</si>
  <si>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</si>
  <si>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</si>
  <si>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</si>
  <si>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</si>
  <si>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</si>
  <si>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</si>
  <si>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</si>
  <si>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</si>
  <si>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</si>
  <si>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</si>
  <si>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</si>
  <si>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</si>
  <si>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</si>
  <si>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</si>
  <si>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</si>
  <si>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</si>
  <si>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</si>
  <si>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</si>
  <si>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</si>
  <si>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</si>
  <si>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</si>
  <si>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</si>
  <si>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</si>
  <si>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</si>
  <si>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</si>
  <si>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</si>
  <si>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</si>
  <si>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</si>
  <si>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</si>
  <si>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</si>
  <si>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</si>
  <si>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</si>
  <si>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</si>
  <si>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</si>
  <si>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</si>
  <si>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</si>
  <si>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</si>
  <si>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</si>
  <si>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</si>
  <si>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</si>
  <si>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</si>
  <si>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</si>
  <si>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</si>
  <si>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</si>
  <si>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</si>
  <si>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</si>
  <si>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</si>
  <si>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</si>
  <si>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</si>
  <si>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</si>
  <si>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</si>
  <si>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</si>
  <si>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</si>
  <si>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</si>
  <si>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</si>
  <si>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</si>
  <si>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</si>
  <si>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</si>
  <si>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</si>
  <si>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</si>
  <si>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</si>
  <si>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</si>
  <si>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</si>
  <si>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</si>
  <si>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</si>
  <si>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</si>
  <si>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</si>
  <si>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</si>
  <si>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</si>
  <si>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</si>
  <si>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</si>
  <si>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</si>
  <si>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</si>
  <si>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</si>
  <si>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</si>
  <si>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</si>
  <si>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</si>
  <si>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</si>
  <si>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</si>
  <si>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</si>
  <si>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</si>
  <si>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</si>
  <si>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</si>
  <si>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</si>
  <si>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</si>
  <si>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</si>
  <si>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</si>
  <si>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</si>
  <si>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</si>
  <si>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</si>
  <si>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</si>
  <si>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</si>
  <si>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</si>
  <si>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</si>
  <si>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</si>
  <si>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</si>
  <si>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</si>
  <si>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</si>
  <si>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</si>
  <si>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</si>
  <si>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</si>
  <si>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</si>
  <si>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</si>
  <si>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</si>
  <si>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</si>
  <si>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</si>
  <si>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</si>
  <si>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</si>
  <si>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</si>
  <si>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</si>
  <si>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</si>
  <si>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</si>
  <si>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</si>
  <si>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</si>
  <si>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</si>
  <si>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</si>
  <si>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</si>
  <si>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</si>
  <si>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</si>
  <si>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</si>
  <si>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</si>
  <si>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</si>
  <si>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</si>
  <si>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</si>
  <si>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</si>
  <si>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</si>
  <si>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</si>
  <si>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</si>
  <si>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</si>
  <si>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</si>
  <si>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</si>
  <si>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</si>
  <si>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</si>
  <si>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</si>
  <si>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</si>
  <si>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</si>
  <si>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</si>
  <si>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</si>
  <si>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</si>
  <si>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</si>
  <si>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</si>
  <si>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</si>
  <si>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</si>
  <si>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</si>
  <si>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</si>
  <si>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</si>
  <si>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</si>
  <si>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</si>
  <si>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</si>
  <si>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</si>
  <si>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</si>
  <si>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</si>
  <si>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</si>
  <si>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</si>
  <si>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</si>
  <si>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</si>
  <si>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</si>
  <si>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</si>
  <si>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</si>
  <si>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</si>
  <si>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</si>
  <si>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</si>
  <si>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</si>
  <si>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</si>
  <si>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</si>
  <si>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</si>
  <si>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</si>
  <si>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</si>
  <si>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</si>
  <si>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</si>
  <si>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</si>
  <si>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</si>
  <si>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</si>
  <si>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</si>
  <si>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</si>
  <si>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</si>
  <si>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</si>
  <si>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</si>
  <si>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</si>
  <si>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</si>
  <si>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</si>
  <si>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</si>
  <si>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</si>
  <si>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</si>
  <si>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</si>
  <si>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</si>
  <si>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</si>
  <si>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</si>
  <si>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</si>
  <si>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</si>
  <si>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</si>
  <si>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</si>
  <si>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</si>
  <si>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</si>
  <si>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</si>
  <si>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</si>
  <si>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</si>
  <si>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</si>
  <si>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</si>
  <si>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</si>
  <si>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</si>
  <si>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</si>
  <si>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</si>
  <si>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</si>
  <si>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</si>
  <si>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</si>
  <si>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</si>
  <si>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</si>
  <si>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</si>
  <si>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</si>
  <si>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</si>
  <si>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</si>
  <si>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</si>
  <si>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</si>
  <si>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</si>
  <si>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</si>
  <si>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</si>
  <si>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</si>
  <si>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</si>
  <si>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</si>
  <si>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</si>
  <si>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</si>
  <si>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</si>
  <si>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</si>
  <si>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</si>
  <si>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</si>
  <si>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</si>
  <si>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</si>
  <si>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</si>
  <si>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</si>
  <si>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</si>
  <si>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</si>
  <si>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</si>
  <si>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</si>
  <si>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</si>
  <si>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</si>
  <si>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</si>
  <si>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</si>
  <si>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</si>
  <si>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</si>
  <si>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</si>
  <si>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</si>
  <si>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</si>
  <si>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</si>
  <si>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</si>
  <si>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</si>
  <si>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</si>
  <si>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</si>
  <si>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</si>
  <si>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</si>
  <si>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</si>
  <si>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</si>
  <si>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</si>
  <si>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</si>
  <si>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</si>
  <si>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</si>
  <si>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</si>
  <si>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</si>
  <si>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</si>
  <si>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</si>
  <si>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</si>
  <si>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</si>
  <si>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</si>
  <si>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</si>
  <si>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</si>
  <si>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</si>
  <si>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</si>
  <si>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</si>
  <si>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</si>
  <si>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</si>
  <si>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</si>
  <si>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</si>
  <si>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</si>
  <si>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</si>
  <si>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</si>
  <si>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</si>
  <si>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</si>
  <si>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</si>
  <si>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</si>
  <si>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</si>
  <si>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</si>
  <si>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</si>
  <si>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</si>
  <si>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</si>
  <si>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</si>
  <si>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</si>
  <si>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</si>
  <si>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</si>
  <si>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</si>
  <si>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</si>
  <si>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</si>
  <si>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</si>
  <si>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</si>
  <si>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</si>
  <si>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</si>
  <si>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</si>
  <si>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</si>
  <si>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</si>
  <si>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</si>
  <si>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</si>
  <si>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</si>
  <si>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</si>
  <si>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</si>
  <si>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</si>
  <si>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</si>
  <si>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</si>
  <si>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</si>
  <si>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</si>
  <si>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</si>
  <si>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</si>
  <si>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</si>
  <si>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</si>
  <si>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</si>
  <si>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</si>
  <si>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</si>
  <si>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</si>
  <si>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</si>
  <si>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</si>
  <si>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</si>
  <si>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</si>
  <si>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</si>
  <si>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</si>
  <si>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</si>
  <si>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</si>
  <si>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</si>
  <si>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</si>
  <si>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</si>
  <si>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</si>
  <si>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</si>
  <si>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</si>
  <si>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</si>
  <si>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</si>
  <si>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</si>
  <si>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</si>
  <si>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</si>
  <si>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</si>
  <si>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</si>
  <si>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</si>
  <si>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</si>
  <si>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</si>
  <si>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</si>
  <si>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</si>
  <si>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</si>
  <si>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</si>
  <si>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</si>
  <si>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</si>
  <si>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</si>
  <si>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</si>
  <si>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</si>
  <si>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</si>
  <si>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</si>
  <si>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</si>
  <si>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</si>
  <si>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</si>
  <si>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</si>
  <si>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</si>
  <si>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</si>
  <si>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</si>
  <si>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</si>
  <si>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</si>
  <si>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</si>
  <si>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</si>
  <si>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</si>
  <si>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</si>
  <si>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</si>
  <si>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</si>
  <si>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</si>
  <si>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</si>
  <si>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</si>
  <si>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</si>
  <si>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</si>
  <si>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</si>
  <si>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</si>
  <si>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</si>
  <si>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</si>
  <si>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</si>
  <si>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</si>
  <si>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</si>
  <si>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</si>
  <si>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</si>
  <si>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</si>
  <si>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</si>
  <si>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</si>
  <si>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</si>
  <si>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</si>
  <si>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</si>
  <si>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</si>
  <si>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</si>
  <si>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</si>
  <si>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</si>
  <si>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</si>
  <si>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</si>
  <si>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</si>
  <si>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</si>
  <si>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</si>
  <si>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</si>
  <si>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</si>
  <si>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</si>
  <si>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</si>
  <si>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</si>
  <si>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</si>
  <si>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</si>
  <si>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</si>
  <si>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</si>
  <si>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</si>
  <si>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</si>
  <si>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</si>
  <si>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</si>
  <si>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</si>
  <si>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</si>
  <si>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</si>
  <si>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</si>
  <si>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</si>
  <si>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</si>
  <si>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</si>
  <si>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</si>
  <si>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</si>
  <si>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</si>
  <si>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</si>
  <si>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</si>
  <si>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</si>
  <si>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</si>
  <si>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</si>
  <si>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</si>
  <si>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</si>
  <si>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</si>
  <si>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</si>
  <si>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</si>
  <si>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</si>
  <si>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</si>
  <si>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</si>
  <si>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</si>
  <si>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</si>
  <si>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</si>
  <si>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</si>
  <si>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</si>
  <si>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</si>
  <si>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</si>
  <si>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</si>
  <si>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</si>
  <si>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</si>
  <si>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</si>
  <si>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</si>
  <si>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</si>
  <si>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</si>
  <si>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</si>
  <si>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</si>
  <si>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</si>
  <si>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</si>
  <si>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</si>
  <si>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</si>
  <si>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</si>
  <si>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</si>
  <si>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</si>
  <si>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</si>
  <si>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</si>
  <si>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</si>
  <si>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</si>
  <si>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</si>
  <si>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</si>
  <si>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</si>
  <si>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</si>
  <si>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</si>
  <si>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</si>
  <si>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</si>
  <si>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</si>
  <si>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</si>
  <si>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</si>
  <si>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</si>
  <si>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</si>
  <si>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</si>
  <si>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</si>
  <si>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</si>
  <si>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</si>
  <si>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</si>
  <si>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</si>
  <si>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</si>
  <si>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</si>
  <si>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</si>
  <si>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</si>
  <si>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</si>
  <si>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</si>
  <si>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</si>
  <si>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</si>
  <si>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</si>
  <si>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</si>
  <si>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</si>
  <si>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</si>
  <si>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</si>
  <si>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</si>
  <si>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</si>
  <si>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</si>
  <si>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</si>
  <si>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</si>
  <si>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</si>
  <si>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</si>
  <si>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</si>
  <si>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</si>
  <si>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</si>
  <si>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</si>
  <si>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</si>
  <si>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</si>
  <si>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</si>
  <si>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</si>
  <si>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</si>
  <si>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</si>
  <si>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</si>
  <si>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</si>
  <si>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</si>
  <si>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</si>
  <si>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</si>
  <si>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</si>
  <si>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</si>
  <si>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</si>
  <si>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</si>
  <si>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</si>
  <si>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</si>
  <si>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</si>
  <si>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</si>
  <si>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</si>
  <si>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</si>
  <si>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</si>
  <si>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</si>
  <si>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</si>
  <si>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</si>
  <si>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</si>
  <si>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</si>
  <si>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</si>
  <si>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</si>
  <si>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</si>
  <si>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</si>
  <si>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</si>
  <si>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</si>
  <si>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</si>
  <si>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</si>
  <si>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</si>
  <si>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</si>
  <si>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</si>
  <si>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</si>
  <si>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</si>
  <si>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</si>
  <si>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</si>
  <si>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</si>
  <si>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</si>
  <si>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</si>
  <si>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</si>
  <si>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</si>
  <si>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</si>
  <si>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</si>
  <si>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</si>
  <si>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</si>
  <si>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</si>
  <si>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</si>
  <si>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</si>
  <si>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</si>
  <si>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</si>
  <si>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</si>
  <si>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</si>
  <si>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</si>
  <si>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</si>
  <si>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</si>
  <si>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</si>
  <si>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</si>
  <si>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</si>
  <si>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</si>
  <si>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</si>
  <si>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</si>
  <si>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</si>
  <si>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</si>
  <si>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</si>
  <si>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</si>
  <si>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</si>
  <si>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</si>
  <si>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</si>
  <si>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</si>
  <si>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</si>
  <si>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</si>
  <si>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</si>
  <si>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</si>
  <si>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</si>
  <si>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</si>
  <si>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</si>
  <si>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</si>
  <si>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</si>
  <si>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</si>
  <si>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</si>
  <si>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</si>
  <si>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</si>
  <si>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</si>
  <si>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</si>
  <si>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</si>
  <si>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</si>
  <si>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</si>
  <si>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</si>
  <si>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</si>
  <si>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</si>
  <si>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</si>
  <si>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</si>
  <si>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</si>
  <si>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</si>
  <si>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</si>
  <si>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</si>
  <si>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</si>
  <si>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</si>
  <si>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</si>
  <si>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</si>
  <si>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</si>
  <si>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</si>
  <si>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</si>
  <si>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</si>
  <si>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</si>
  <si>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</si>
  <si>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</si>
  <si>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</si>
  <si>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</si>
  <si>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</si>
  <si>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</si>
  <si>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</si>
  <si>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</si>
  <si>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</si>
  <si>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</si>
  <si>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</si>
  <si>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</si>
  <si>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</si>
  <si>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</si>
  <si>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</si>
  <si>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</si>
  <si>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</si>
  <si>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</si>
  <si>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</si>
  <si>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</si>
  <si>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</si>
  <si>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</si>
  <si>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</si>
  <si>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</si>
  <si>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</si>
  <si>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</si>
  <si>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</si>
  <si>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</si>
  <si>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</si>
  <si>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</si>
  <si>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</si>
  <si>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</si>
  <si>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</si>
  <si>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</si>
  <si>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</si>
  <si>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</si>
  <si>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</si>
  <si>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</si>
  <si>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</si>
  <si>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</si>
  <si>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</si>
  <si>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</si>
  <si>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</si>
  <si>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</si>
  <si>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</si>
  <si>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</si>
  <si>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</si>
  <si>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</si>
  <si>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</si>
  <si>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</si>
  <si>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</si>
  <si>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</si>
  <si>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</si>
  <si>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</si>
  <si>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</si>
  <si>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</si>
  <si>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</si>
  <si>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</si>
  <si>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</si>
  <si>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</si>
  <si>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</si>
  <si>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</si>
  <si>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</si>
  <si>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</si>
  <si>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</si>
  <si>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</si>
  <si>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</si>
  <si>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</si>
  <si>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</si>
  <si>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</si>
  <si>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</si>
  <si>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</si>
  <si>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</si>
  <si>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</si>
  <si>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</si>
  <si>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</si>
  <si>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</si>
  <si>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</si>
  <si>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</si>
  <si>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</si>
  <si>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</si>
  <si>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</si>
  <si>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</si>
  <si>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</si>
  <si>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</si>
  <si>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</si>
  <si>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</si>
  <si>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</si>
  <si>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</si>
  <si>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</si>
  <si>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</si>
  <si>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</si>
  <si>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</si>
  <si>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</si>
  <si>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</si>
  <si>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</si>
  <si>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</si>
  <si>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</si>
  <si>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</si>
  <si>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</si>
  <si>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</si>
  <si>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</si>
  <si>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</si>
  <si>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</si>
  <si>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</si>
  <si>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</si>
  <si>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</si>
  <si>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</si>
  <si>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</si>
  <si>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</si>
  <si>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</si>
  <si>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</si>
  <si>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</si>
  <si>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</si>
  <si>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</si>
  <si>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</si>
  <si>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</si>
  <si>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</si>
  <si>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</si>
  <si>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</si>
  <si>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</si>
  <si>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</si>
  <si>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</si>
  <si>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</si>
  <si>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</si>
  <si>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</si>
  <si>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</si>
  <si>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</si>
  <si>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</si>
  <si>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</si>
  <si>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</si>
  <si>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</si>
  <si>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</si>
  <si>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</si>
  <si>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</si>
  <si>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</si>
  <si>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</si>
  <si>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</si>
  <si>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</si>
  <si>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</si>
  <si>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</si>
  <si>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</si>
  <si>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</si>
  <si>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</si>
  <si>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</si>
  <si>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</si>
  <si>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</si>
  <si>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</si>
  <si>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</si>
  <si>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</si>
  <si>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</si>
  <si>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</si>
  <si>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</si>
  <si>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</si>
  <si>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</si>
  <si>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</si>
  <si>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</si>
  <si>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</si>
  <si>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</si>
  <si>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</si>
  <si>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</si>
  <si>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</si>
  <si>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</si>
  <si>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</si>
  <si>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</si>
  <si>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</si>
  <si>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</si>
  <si>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</si>
  <si>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</si>
  <si>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</si>
  <si>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</si>
  <si>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</si>
  <si>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</si>
  <si>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</si>
  <si>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</si>
  <si>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</si>
  <si>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</si>
  <si>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</si>
  <si>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</si>
  <si>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</si>
  <si>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</si>
  <si>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</si>
  <si>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</si>
  <si>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</si>
  <si>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</si>
  <si>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</si>
  <si>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</si>
  <si>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</si>
  <si>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</si>
  <si>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</si>
  <si>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</si>
  <si>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</si>
  <si>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</si>
  <si>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</si>
  <si>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</si>
  <si>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</si>
  <si>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</si>
  <si>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</si>
  <si>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</si>
  <si>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</si>
  <si>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</si>
  <si>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</si>
  <si>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</si>
  <si>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</si>
  <si>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</si>
  <si>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</si>
  <si>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</si>
  <si>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</si>
  <si>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</si>
  <si>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</si>
  <si>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</si>
  <si>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</si>
  <si>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</si>
  <si>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</si>
  <si>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</si>
  <si>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</si>
  <si>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</si>
  <si>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</si>
  <si>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</si>
  <si>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</si>
  <si>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</si>
  <si>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</si>
  <si>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</si>
  <si>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</si>
  <si>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</si>
  <si>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</si>
  <si>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</si>
  <si>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</si>
  <si>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</si>
  <si>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</si>
  <si>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</si>
  <si>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</si>
  <si>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</si>
  <si>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</si>
  <si>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</si>
  <si>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</si>
  <si>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</si>
  <si>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</si>
  <si>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</si>
  <si>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</si>
  <si>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</si>
  <si>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</si>
  <si>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</si>
  <si>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</si>
  <si>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</si>
  <si>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</si>
  <si>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</si>
  <si>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</si>
  <si>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</si>
  <si>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</si>
  <si>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</si>
  <si>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</si>
  <si>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</si>
  <si>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</si>
  <si>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</si>
  <si>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</si>
  <si>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</si>
  <si>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</si>
  <si>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</si>
  <si>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</si>
  <si>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</si>
  <si>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</si>
  <si>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</si>
  <si>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</si>
  <si>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</si>
  <si>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</si>
  <si>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</si>
  <si>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</si>
  <si>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</si>
  <si>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</si>
  <si>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</si>
  <si>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</si>
  <si>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</si>
  <si>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</si>
  <si>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</si>
  <si>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</si>
  <si>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</si>
  <si>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</si>
  <si>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</si>
  <si>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</si>
  <si>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</si>
  <si>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</si>
  <si>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</si>
  <si>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</si>
  <si>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</si>
  <si>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</si>
  <si>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</si>
  <si>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</si>
  <si>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</si>
  <si>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</si>
  <si>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</si>
  <si>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</si>
  <si>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</si>
  <si>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</si>
  <si>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</si>
  <si>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</si>
  <si>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</si>
  <si>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</si>
  <si>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</si>
  <si>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</si>
  <si>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</si>
  <si>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</si>
  <si>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</si>
  <si>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</si>
  <si>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</si>
  <si>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</si>
  <si>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</si>
  <si>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</si>
  <si>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</si>
  <si>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</si>
  <si>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</si>
  <si>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</si>
  <si>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</si>
  <si>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</si>
  <si>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</si>
  <si>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</si>
  <si>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</si>
  <si>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</si>
  <si>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</si>
  <si>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</si>
  <si>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</si>
  <si>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</si>
  <si>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</si>
  <si>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</si>
  <si>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</si>
  <si>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</si>
  <si>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</si>
  <si>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</si>
  <si>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</si>
  <si>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</si>
  <si>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</si>
  <si>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</si>
  <si>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</si>
  <si>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</si>
  <si>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</si>
  <si>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</si>
  <si>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</si>
  <si>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</si>
  <si>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</si>
  <si>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</si>
  <si>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</si>
  <si>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</si>
  <si>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</si>
  <si>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</si>
  <si>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</si>
  <si>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</si>
  <si>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</si>
  <si>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</si>
  <si>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</si>
  <si>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</si>
  <si>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</si>
  <si>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</si>
  <si>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</si>
  <si>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</si>
  <si>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</si>
  <si>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</si>
  <si>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</si>
  <si>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</si>
  <si>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</si>
  <si>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</si>
  <si>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</si>
  <si>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</si>
  <si>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</si>
  <si>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</si>
  <si>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</si>
  <si>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</si>
  <si>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</si>
  <si>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</si>
  <si>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</si>
  <si>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</si>
  <si>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</si>
  <si>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</si>
  <si>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</si>
  <si>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</si>
  <si>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</si>
  <si>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</si>
  <si>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</si>
  <si>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</si>
  <si>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</si>
  <si>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</si>
  <si>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</si>
  <si>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</si>
  <si>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</si>
  <si>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</si>
  <si>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</si>
  <si>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</si>
  <si>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</si>
  <si>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</si>
  <si>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</si>
  <si>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</si>
  <si>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</si>
  <si>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</si>
  <si>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</si>
  <si>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</si>
  <si>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</si>
  <si>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</si>
  <si>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</si>
  <si>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</si>
  <si>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</si>
  <si>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</si>
  <si>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</si>
  <si>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</si>
  <si>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</si>
  <si>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</si>
  <si>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</si>
  <si>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</si>
  <si>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</si>
  <si>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</si>
  <si>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</si>
  <si>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</si>
  <si>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</si>
  <si>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</si>
  <si>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</si>
  <si>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</si>
  <si>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</si>
  <si>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</si>
  <si>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</si>
  <si>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</si>
  <si>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</si>
  <si>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</si>
  <si>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</si>
  <si>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</si>
  <si>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</si>
  <si>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</si>
  <si>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</si>
  <si>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</si>
  <si>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</si>
  <si>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</si>
  <si>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</si>
  <si>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</si>
  <si>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</si>
  <si>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</si>
  <si>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</si>
  <si>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</si>
  <si>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</si>
  <si>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</si>
  <si>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</si>
  <si>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</si>
  <si>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</si>
  <si>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</si>
  <si>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</si>
  <si>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</si>
  <si>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</si>
  <si>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</si>
  <si>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</si>
  <si>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</si>
  <si>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</si>
  <si>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</si>
  <si>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</si>
  <si>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</si>
  <si>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</si>
  <si>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</si>
  <si>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</si>
  <si>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</si>
  <si>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</si>
  <si>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</si>
  <si>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</si>
  <si>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</si>
  <si>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</si>
  <si>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</si>
  <si>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</si>
  <si>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</si>
  <si>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</si>
  <si>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</si>
  <si>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</si>
  <si>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</si>
  <si>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</si>
  <si>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</si>
  <si>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</si>
  <si>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</si>
  <si>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</si>
  <si>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</si>
  <si>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</si>
  <si>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</si>
  <si>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</si>
  <si>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</si>
  <si>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</si>
  <si>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</si>
  <si>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</si>
  <si>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</si>
  <si>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</si>
  <si>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</si>
  <si>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</si>
  <si>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</si>
  <si>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</si>
  <si>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</si>
  <si>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</si>
  <si>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</si>
  <si>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</si>
  <si>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</si>
  <si>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</si>
  <si>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</si>
  <si>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</si>
  <si>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</si>
  <si>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</si>
  <si>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</si>
  <si>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</si>
  <si>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</si>
  <si>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</si>
  <si>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</si>
  <si>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</si>
  <si>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</si>
  <si>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</si>
  <si>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</si>
  <si>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</si>
  <si>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</si>
  <si>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</si>
  <si>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</si>
  <si>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</si>
  <si>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</si>
  <si>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</si>
  <si>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</si>
  <si>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</si>
  <si>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</si>
  <si>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</si>
  <si>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</si>
  <si>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</si>
  <si>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</si>
  <si>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</si>
  <si>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</si>
  <si>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</si>
  <si>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</si>
  <si>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</si>
  <si>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</si>
  <si>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</si>
  <si>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</si>
  <si>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</si>
  <si>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</si>
  <si>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</si>
  <si>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</si>
  <si>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</si>
  <si>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</si>
  <si>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</si>
  <si>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</si>
  <si>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</si>
  <si>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</si>
  <si>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</si>
  <si>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</si>
  <si>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</si>
  <si>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</si>
  <si>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</si>
  <si>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</si>
  <si>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</si>
  <si>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</si>
  <si>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</si>
  <si>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</si>
  <si>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</si>
  <si>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</si>
  <si>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</si>
  <si>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</si>
  <si>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</si>
  <si>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</si>
  <si>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</si>
  <si>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</si>
  <si>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</si>
  <si>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</si>
  <si>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</si>
  <si>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</si>
  <si>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</si>
  <si>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</si>
  <si>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</si>
  <si>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</si>
  <si>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</si>
  <si>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</si>
  <si>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</si>
  <si>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</si>
  <si>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</si>
  <si>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</si>
  <si>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</si>
  <si>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</si>
  <si>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</si>
  <si>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</si>
  <si>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</si>
  <si>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</si>
  <si>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</si>
  <si>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</si>
  <si>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</si>
  <si>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</si>
  <si>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</si>
  <si>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</si>
  <si>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</si>
  <si>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</si>
  <si>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</si>
  <si>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</si>
  <si>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</si>
  <si>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</si>
  <si>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</si>
  <si>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</si>
  <si>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</si>
  <si>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</si>
  <si>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</si>
  <si>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</si>
  <si>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</si>
  <si>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</si>
  <si>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</si>
  <si>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</si>
  <si>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</si>
  <si>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</si>
  <si>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</si>
  <si>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</si>
  <si>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</si>
  <si>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</si>
  <si>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</si>
  <si>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</si>
  <si>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</si>
  <si>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</si>
  <si>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</si>
  <si>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</si>
  <si>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</si>
  <si>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</si>
  <si>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</si>
  <si>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</si>
  <si>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</si>
  <si>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</si>
  <si>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</si>
  <si>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</si>
  <si>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</si>
  <si>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</si>
  <si>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</si>
  <si>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</si>
  <si>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</si>
  <si>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</si>
  <si>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</si>
  <si>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</si>
  <si>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</si>
  <si>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</si>
  <si>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</si>
  <si>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</si>
  <si>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</si>
  <si>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</si>
  <si>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</si>
  <si>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</si>
  <si>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</si>
  <si>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</si>
  <si>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</si>
  <si>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</si>
  <si>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</si>
  <si>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</si>
  <si>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</si>
  <si>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</si>
  <si>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</si>
  <si>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</si>
  <si>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</si>
  <si>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</si>
  <si>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</si>
  <si>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</si>
  <si>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</si>
  <si>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</si>
  <si>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</si>
  <si>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</si>
  <si>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</si>
  <si>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</si>
  <si>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</si>
  <si>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</si>
  <si>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</si>
  <si>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</si>
  <si>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</si>
  <si>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</si>
  <si>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</si>
  <si>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</si>
  <si>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</si>
  <si>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</si>
  <si>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</si>
  <si>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</si>
  <si>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</si>
  <si>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</si>
  <si>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</si>
  <si>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</si>
  <si>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</si>
  <si>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</si>
  <si>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</si>
  <si>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</si>
  <si>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</si>
  <si>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</si>
  <si>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</si>
  <si>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</si>
  <si>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</si>
  <si>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</si>
  <si>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</si>
  <si>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</si>
  <si>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</si>
  <si>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</si>
  <si>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</si>
  <si>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</si>
  <si>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</si>
  <si>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</si>
  <si>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</si>
  <si>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</si>
  <si>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</si>
  <si>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</si>
  <si>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</si>
  <si>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</si>
  <si>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</si>
  <si>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</si>
  <si>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</si>
  <si>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</si>
  <si>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</si>
  <si>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</si>
  <si>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</si>
  <si>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</si>
  <si>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</si>
  <si>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</si>
  <si>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</si>
  <si>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</si>
  <si>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</si>
  <si>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</si>
  <si>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</si>
  <si>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</si>
  <si>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</si>
  <si>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</si>
  <si>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</si>
  <si>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</si>
  <si>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</si>
  <si>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</si>
  <si>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</si>
  <si>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</si>
  <si>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</si>
  <si>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</si>
  <si>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</si>
  <si>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</si>
  <si>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</si>
  <si>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</si>
  <si>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</si>
  <si>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</si>
  <si>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</si>
  <si>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</si>
  <si>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</si>
  <si>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</si>
  <si>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</si>
  <si>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</si>
  <si>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</si>
  <si>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</si>
  <si>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</si>
  <si>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</si>
  <si>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</si>
  <si>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</si>
  <si>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</si>
  <si>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</si>
  <si>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</si>
  <si>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</si>
  <si>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</si>
  <si>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</si>
  <si>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</si>
  <si>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</si>
  <si>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</si>
  <si>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</si>
  <si>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</si>
  <si>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r>
      <t>(x</t>
    </r>
    <r>
      <rPr>
        <sz val="8"/>
        <color rgb="FF000000"/>
        <rFont val="Arial"/>
        <family val="2"/>
        <scheme val="minor"/>
      </rPr>
      <t xml:space="preserve">i </t>
    </r>
    <r>
      <rPr>
        <sz val="10"/>
        <color rgb="FF000000"/>
        <rFont val="Arial"/>
        <family val="2"/>
        <scheme val="minor"/>
      </rPr>
      <t>- x bar)</t>
    </r>
  </si>
  <si>
    <t>(yi - y bar)</t>
  </si>
  <si>
    <t>x bar</t>
  </si>
  <si>
    <t>y bar</t>
  </si>
  <si>
    <t>(xi - x bar) * (yi - y bar)</t>
  </si>
  <si>
    <t>(xi - x bar)^2</t>
  </si>
  <si>
    <t>β1 =</t>
  </si>
  <si>
    <t>β0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</si>
</sst>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2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0" fillId="7" borderId="0" xfId="0" applyFill="1"/>
    <xf numFmtId="0" fontId="0" fillId="8" borderId="0" xfId="0" applyFill="1"/>
    <xf numFmtId="0" fontId="3" fillId="0" borderId="0" xfId="0" applyFont="1" applyBorder="1" applyAlignment="1">
      <alignment horizontal="center"/>
    </xf>
    <xf numFmtId="0" fontId="10" fillId="0" borderId="0" xfId="0" applyFont="1"/>
    <xf numFmtId="0" fontId="1" fillId="0" borderId="0" xfId="0" applyFont="1" applyFill="1" applyBorder="1"/>
    <xf numFmtId="0" fontId="9" fillId="9" borderId="8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9" fillId="0" borderId="8" xfId="0" applyFont="1" applyFill="1" applyBorder="1"/>
    <xf numFmtId="0" fontId="0" fillId="0" borderId="8" xfId="0" applyBorder="1"/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J124"/>
  <sheetViews>
    <sheetView tabSelected="1" topLeftCell="E109" zoomScale="96" workbookViewId="0">
      <selection activeCell="I128" sqref="I128"/>
    </sheetView>
  </sheetViews>
  <sheetFormatPr defaultRowHeight="13.2" x14ac:dyDescent="0.25"/>
  <cols>
    <col min="1" max="1" width="20.6640625" bestFit="1" customWidth="1"/>
    <col min="2" max="2" width="27.77734375" bestFit="1" customWidth="1"/>
    <col min="3" max="3" width="22.6640625" bestFit="1" customWidth="1"/>
    <col min="4" max="4" width="22.6640625" customWidth="1"/>
    <col min="6" max="6" width="12.44140625" bestFit="1" customWidth="1"/>
    <col min="9" max="9" width="20.21875" bestFit="1" customWidth="1"/>
    <col min="10" max="10" width="11.109375" bestFit="1" customWidth="1"/>
  </cols>
  <sheetData>
    <row r="1" spans="1:10" ht="13.2" customHeight="1" x14ac:dyDescent="0.25">
      <c r="A1" s="12" t="s">
        <v>1</v>
      </c>
      <c r="B1" s="10" t="s">
        <v>2</v>
      </c>
      <c r="C1" s="11" t="s">
        <v>3</v>
      </c>
      <c r="D1" s="27"/>
      <c r="E1" s="28" t="s">
        <v>1707</v>
      </c>
      <c r="F1" s="28" t="s">
        <v>1708</v>
      </c>
      <c r="G1" s="29" t="s">
        <v>1705</v>
      </c>
      <c r="H1" s="29" t="s">
        <v>1706</v>
      </c>
      <c r="I1" s="29" t="s">
        <v>1709</v>
      </c>
      <c r="J1" s="29" t="s">
        <v>1710</v>
      </c>
    </row>
    <row r="2" spans="1:10" x14ac:dyDescent="0.25">
      <c r="A2" s="6" t="s">
        <v>588</v>
      </c>
      <c r="B2" s="6">
        <v>76.69</v>
      </c>
      <c r="C2" s="6">
        <v>9.26</v>
      </c>
      <c r="D2" s="25"/>
      <c r="E2" s="30">
        <v>8.8323529409999999</v>
      </c>
      <c r="F2" s="30">
        <v>75.74613445</v>
      </c>
      <c r="G2" s="31">
        <f>C2-E2</f>
        <v>0.42764705899999989</v>
      </c>
      <c r="H2" s="31">
        <f>B2-F2</f>
        <v>0.94386554999999817</v>
      </c>
      <c r="I2" s="31">
        <f>G2*H2</f>
        <v>0.40364132654891655</v>
      </c>
      <c r="J2" s="31">
        <f>G2*G2</f>
        <v>0.18288200707134938</v>
      </c>
    </row>
    <row r="3" spans="1:10" x14ac:dyDescent="0.25">
      <c r="A3" s="6" t="s">
        <v>591</v>
      </c>
      <c r="B3" s="6">
        <v>87.57</v>
      </c>
      <c r="C3" s="6">
        <v>11.95</v>
      </c>
      <c r="D3" s="25"/>
      <c r="E3" s="30">
        <v>8.8323529409999999</v>
      </c>
      <c r="F3" s="30">
        <v>75.74613445</v>
      </c>
      <c r="G3" s="31">
        <f>C3-E3</f>
        <v>3.1176470589999994</v>
      </c>
      <c r="H3" s="31">
        <f>B3-F3</f>
        <v>11.823865549999994</v>
      </c>
      <c r="I3" s="31">
        <f t="shared" ref="I3:I66" si="0">G3*H3</f>
        <v>36.862639657968892</v>
      </c>
      <c r="J3" s="31">
        <f t="shared" ref="J3:J66" si="1">G3*G3</f>
        <v>9.719723184491345</v>
      </c>
    </row>
    <row r="4" spans="1:10" x14ac:dyDescent="0.25">
      <c r="A4" s="6" t="s">
        <v>594</v>
      </c>
      <c r="B4" s="6">
        <v>84.76</v>
      </c>
      <c r="C4" s="6">
        <v>11.99</v>
      </c>
      <c r="D4" s="25"/>
      <c r="E4" s="30">
        <v>8.8323529409999999</v>
      </c>
      <c r="F4" s="30">
        <v>75.74613445</v>
      </c>
      <c r="G4" s="31">
        <f>C4-E4</f>
        <v>3.1576470590000003</v>
      </c>
      <c r="H4" s="31">
        <f>B4-F4</f>
        <v>9.0138655500000056</v>
      </c>
      <c r="I4" s="31">
        <f t="shared" si="0"/>
        <v>28.462606044178937</v>
      </c>
      <c r="J4" s="31">
        <f t="shared" si="1"/>
        <v>9.9707349492113515</v>
      </c>
    </row>
    <row r="5" spans="1:10" x14ac:dyDescent="0.25">
      <c r="A5" s="6" t="s">
        <v>598</v>
      </c>
      <c r="B5" s="6">
        <v>83.75</v>
      </c>
      <c r="C5" s="6">
        <v>11.61</v>
      </c>
      <c r="D5" s="25"/>
      <c r="E5" s="30">
        <v>8.8323529409999999</v>
      </c>
      <c r="F5" s="30">
        <v>75.74613445</v>
      </c>
      <c r="G5" s="31">
        <f>C5-E5</f>
        <v>2.7776470589999995</v>
      </c>
      <c r="H5" s="31">
        <f>B5-F5</f>
        <v>8.0038655500000004</v>
      </c>
      <c r="I5" s="31">
        <f t="shared" si="0"/>
        <v>22.231913605588915</v>
      </c>
      <c r="J5" s="31">
        <f t="shared" si="1"/>
        <v>7.7153231843713472</v>
      </c>
    </row>
    <row r="6" spans="1:10" x14ac:dyDescent="0.25">
      <c r="A6" s="6" t="s">
        <v>602</v>
      </c>
      <c r="B6" s="6">
        <v>84.4</v>
      </c>
      <c r="C6" s="6">
        <v>11.24</v>
      </c>
      <c r="D6" s="25"/>
      <c r="E6" s="30">
        <v>8.8323529409999999</v>
      </c>
      <c r="F6" s="30">
        <v>75.74613445</v>
      </c>
      <c r="G6" s="31">
        <f>C6-E6</f>
        <v>2.4076470590000003</v>
      </c>
      <c r="H6" s="31">
        <f>B6-F6</f>
        <v>8.6538655500000061</v>
      </c>
      <c r="I6" s="31">
        <f t="shared" si="0"/>
        <v>20.835453940438935</v>
      </c>
      <c r="J6" s="31">
        <f t="shared" si="1"/>
        <v>5.796764360711351</v>
      </c>
    </row>
    <row r="7" spans="1:10" x14ac:dyDescent="0.25">
      <c r="A7" s="6" t="s">
        <v>606</v>
      </c>
      <c r="B7" s="6">
        <v>82.13</v>
      </c>
      <c r="C7" s="6">
        <v>10.85</v>
      </c>
      <c r="D7" s="25"/>
      <c r="E7" s="30">
        <v>8.8323529409999999</v>
      </c>
      <c r="F7" s="30">
        <v>75.74613445</v>
      </c>
      <c r="G7" s="31">
        <f>C7-E7</f>
        <v>2.0176470589999997</v>
      </c>
      <c r="H7" s="31">
        <f>B7-F7</f>
        <v>6.3838655499999959</v>
      </c>
      <c r="I7" s="31">
        <f t="shared" si="0"/>
        <v>12.880387552008907</v>
      </c>
      <c r="J7" s="31">
        <f t="shared" si="1"/>
        <v>4.0708996546913481</v>
      </c>
    </row>
    <row r="8" spans="1:10" x14ac:dyDescent="0.25">
      <c r="A8" s="6" t="s">
        <v>611</v>
      </c>
      <c r="B8" s="6">
        <v>73.63</v>
      </c>
      <c r="C8" s="6">
        <v>8.89</v>
      </c>
      <c r="D8" s="25"/>
      <c r="E8" s="30">
        <v>8.8323529409999999</v>
      </c>
      <c r="F8" s="30">
        <v>75.74613445</v>
      </c>
      <c r="G8" s="31">
        <f>C8-E8</f>
        <v>5.7647059000000667E-2</v>
      </c>
      <c r="H8" s="31">
        <f>B8-F8</f>
        <v>-2.1161344500000041</v>
      </c>
      <c r="I8" s="31">
        <f t="shared" si="0"/>
        <v>-0.1219889274910842</v>
      </c>
      <c r="J8" s="31">
        <f t="shared" si="1"/>
        <v>3.3231834113495577E-3</v>
      </c>
    </row>
    <row r="9" spans="1:10" x14ac:dyDescent="0.25">
      <c r="A9" s="6" t="s">
        <v>615</v>
      </c>
      <c r="B9" s="6">
        <v>70.180000000000007</v>
      </c>
      <c r="C9" s="6">
        <v>7.75</v>
      </c>
      <c r="D9" s="25"/>
      <c r="E9" s="30">
        <v>8.8323529409999999</v>
      </c>
      <c r="F9" s="30">
        <v>75.74613445</v>
      </c>
      <c r="G9" s="31">
        <f>C9-E9</f>
        <v>-1.0823529409999999</v>
      </c>
      <c r="H9" s="31">
        <f>B9-F9</f>
        <v>-5.5661344499999927</v>
      </c>
      <c r="I9" s="31">
        <f t="shared" si="0"/>
        <v>6.0245219919589088</v>
      </c>
      <c r="J9" s="31">
        <f t="shared" si="1"/>
        <v>1.1714878888913494</v>
      </c>
    </row>
    <row r="10" spans="1:10" x14ac:dyDescent="0.25">
      <c r="A10" s="6" t="s">
        <v>619</v>
      </c>
      <c r="B10" s="6">
        <v>68.89</v>
      </c>
      <c r="C10" s="6">
        <v>7.91</v>
      </c>
      <c r="D10" s="25"/>
      <c r="E10" s="30">
        <v>8.8323529409999999</v>
      </c>
      <c r="F10" s="30">
        <v>75.74613445</v>
      </c>
      <c r="G10" s="31">
        <f>C10-E10</f>
        <v>-0.92235294099999976</v>
      </c>
      <c r="H10" s="31">
        <f>B10-F10</f>
        <v>-6.856134449999999</v>
      </c>
      <c r="I10" s="31">
        <f t="shared" si="0"/>
        <v>6.3237757738489151</v>
      </c>
      <c r="J10" s="31">
        <f t="shared" si="1"/>
        <v>0.85073494777134906</v>
      </c>
    </row>
    <row r="11" spans="1:10" x14ac:dyDescent="0.25">
      <c r="A11" s="6" t="s">
        <v>621</v>
      </c>
      <c r="B11" s="6">
        <v>74.59</v>
      </c>
      <c r="C11" s="6">
        <v>9.4499999999999993</v>
      </c>
      <c r="D11" s="25"/>
      <c r="E11" s="30">
        <v>8.8323529409999999</v>
      </c>
      <c r="F11" s="30">
        <v>75.74613445</v>
      </c>
      <c r="G11" s="31">
        <f>C11-E11</f>
        <v>0.61764705899999939</v>
      </c>
      <c r="H11" s="31">
        <f>B11-F11</f>
        <v>-1.1561344499999961</v>
      </c>
      <c r="I11" s="31">
        <f t="shared" si="0"/>
        <v>-0.71408304285107949</v>
      </c>
      <c r="J11" s="31">
        <f t="shared" si="1"/>
        <v>0.38148788949134871</v>
      </c>
    </row>
    <row r="12" spans="1:10" x14ac:dyDescent="0.25">
      <c r="A12" s="6" t="s">
        <v>625</v>
      </c>
      <c r="B12" s="6">
        <v>69.91</v>
      </c>
      <c r="C12" s="6">
        <v>8.31</v>
      </c>
      <c r="D12" s="25"/>
      <c r="E12" s="30">
        <v>8.8323529409999999</v>
      </c>
      <c r="F12" s="30">
        <v>75.74613445</v>
      </c>
      <c r="G12" s="31">
        <f>C12-E12</f>
        <v>-0.5223529409999994</v>
      </c>
      <c r="H12" s="31">
        <f>B12-F12</f>
        <v>-5.836134450000003</v>
      </c>
      <c r="I12" s="31">
        <f t="shared" si="0"/>
        <v>3.0485219940289157</v>
      </c>
      <c r="J12" s="31">
        <f t="shared" si="1"/>
        <v>0.27285259497134884</v>
      </c>
    </row>
    <row r="13" spans="1:10" x14ac:dyDescent="0.25">
      <c r="A13" s="6" t="s">
        <v>629</v>
      </c>
      <c r="B13" s="6">
        <v>69.98</v>
      </c>
      <c r="C13" s="6">
        <v>8.32</v>
      </c>
      <c r="D13" s="25"/>
      <c r="E13" s="30">
        <v>8.8323529409999999</v>
      </c>
      <c r="F13" s="30">
        <v>75.74613445</v>
      </c>
      <c r="G13" s="31">
        <f>C13-E13</f>
        <v>-0.51235294099999962</v>
      </c>
      <c r="H13" s="31">
        <f>B13-F13</f>
        <v>-5.7661344499999956</v>
      </c>
      <c r="I13" s="31">
        <f t="shared" si="0"/>
        <v>2.9542959436589129</v>
      </c>
      <c r="J13" s="31">
        <f t="shared" si="1"/>
        <v>0.26250553615134908</v>
      </c>
    </row>
    <row r="14" spans="1:10" x14ac:dyDescent="0.25">
      <c r="A14" s="6" t="s">
        <v>631</v>
      </c>
      <c r="B14" s="6">
        <v>73.64</v>
      </c>
      <c r="C14" s="6">
        <v>8.33</v>
      </c>
      <c r="D14" s="25"/>
      <c r="E14" s="30">
        <v>8.8323529409999999</v>
      </c>
      <c r="F14" s="30">
        <v>75.74613445</v>
      </c>
      <c r="G14" s="31">
        <f>C14-E14</f>
        <v>-0.50235294099999983</v>
      </c>
      <c r="H14" s="31">
        <f>B14-F14</f>
        <v>-2.106134449999999</v>
      </c>
      <c r="I14" s="31">
        <f t="shared" si="0"/>
        <v>1.0580228350989165</v>
      </c>
      <c r="J14" s="31">
        <f t="shared" si="1"/>
        <v>0.25235847733134931</v>
      </c>
    </row>
    <row r="15" spans="1:10" x14ac:dyDescent="0.25">
      <c r="A15" s="6" t="s">
        <v>634</v>
      </c>
      <c r="B15" s="6">
        <v>71.56</v>
      </c>
      <c r="C15" s="6">
        <v>8.18</v>
      </c>
      <c r="D15" s="25"/>
      <c r="E15" s="30">
        <v>8.8323529409999999</v>
      </c>
      <c r="F15" s="30">
        <v>75.74613445</v>
      </c>
      <c r="G15" s="31">
        <f>C15-E15</f>
        <v>-0.65235294100000019</v>
      </c>
      <c r="H15" s="31">
        <f>B15-F15</f>
        <v>-4.1861344499999973</v>
      </c>
      <c r="I15" s="31">
        <f t="shared" si="0"/>
        <v>2.7308371198789163</v>
      </c>
      <c r="J15" s="31">
        <f t="shared" si="1"/>
        <v>0.4255643596313497</v>
      </c>
    </row>
    <row r="16" spans="1:10" x14ac:dyDescent="0.25">
      <c r="A16" s="6" t="s">
        <v>637</v>
      </c>
      <c r="B16" s="6">
        <v>72.3</v>
      </c>
      <c r="C16" s="6">
        <v>8.06</v>
      </c>
      <c r="D16" s="25"/>
      <c r="E16" s="30">
        <v>8.8323529409999999</v>
      </c>
      <c r="F16" s="30">
        <v>75.74613445</v>
      </c>
      <c r="G16" s="31">
        <f>C16-E16</f>
        <v>-0.7723529409999994</v>
      </c>
      <c r="H16" s="31">
        <f>B16-F16</f>
        <v>-3.4461344500000024</v>
      </c>
      <c r="I16" s="31">
        <f t="shared" si="0"/>
        <v>2.6616320775389171</v>
      </c>
      <c r="J16" s="31">
        <f t="shared" si="1"/>
        <v>0.59652906547134854</v>
      </c>
    </row>
    <row r="17" spans="1:10" x14ac:dyDescent="0.25">
      <c r="A17" s="6" t="s">
        <v>641</v>
      </c>
      <c r="B17" s="6">
        <v>71.37</v>
      </c>
      <c r="C17" s="6">
        <v>7.99</v>
      </c>
      <c r="D17" s="25"/>
      <c r="E17" s="30">
        <v>8.8323529409999999</v>
      </c>
      <c r="F17" s="30">
        <v>75.74613445</v>
      </c>
      <c r="G17" s="31">
        <f>C17-E17</f>
        <v>-0.84235294099999969</v>
      </c>
      <c r="H17" s="31">
        <f>B17-F17</f>
        <v>-4.376134449999995</v>
      </c>
      <c r="I17" s="31">
        <f t="shared" si="0"/>
        <v>3.6862497241689121</v>
      </c>
      <c r="J17" s="31">
        <f t="shared" si="1"/>
        <v>0.7095584772113489</v>
      </c>
    </row>
    <row r="18" spans="1:10" x14ac:dyDescent="0.25">
      <c r="A18" s="6" t="s">
        <v>644</v>
      </c>
      <c r="B18" s="6">
        <v>74.569999999999993</v>
      </c>
      <c r="C18" s="6">
        <v>8.86</v>
      </c>
      <c r="D18" s="25"/>
      <c r="E18" s="30">
        <v>8.8323529409999999</v>
      </c>
      <c r="F18" s="30">
        <v>75.74613445</v>
      </c>
      <c r="G18" s="31">
        <f>C18-E18</f>
        <v>2.764705899999953E-2</v>
      </c>
      <c r="H18" s="31">
        <f>B18-F18</f>
        <v>-1.1761344500000064</v>
      </c>
      <c r="I18" s="31">
        <f t="shared" si="0"/>
        <v>-3.2516658531082175E-2</v>
      </c>
      <c r="J18" s="31">
        <f t="shared" si="1"/>
        <v>7.6435987134945498E-4</v>
      </c>
    </row>
    <row r="19" spans="1:10" x14ac:dyDescent="0.25">
      <c r="A19" s="6" t="s">
        <v>647</v>
      </c>
      <c r="B19" s="6">
        <v>70.72</v>
      </c>
      <c r="C19" s="6">
        <v>7.45</v>
      </c>
      <c r="D19" s="25"/>
      <c r="E19" s="30">
        <v>8.8323529409999999</v>
      </c>
      <c r="F19" s="30">
        <v>75.74613445</v>
      </c>
      <c r="G19" s="31">
        <f>C19-E19</f>
        <v>-1.3823529409999997</v>
      </c>
      <c r="H19" s="31">
        <f>B19-F19</f>
        <v>-5.0261344500000007</v>
      </c>
      <c r="I19" s="31">
        <f t="shared" si="0"/>
        <v>6.9478917388189174</v>
      </c>
      <c r="J19" s="31">
        <f t="shared" si="1"/>
        <v>1.9108996534913487</v>
      </c>
    </row>
    <row r="20" spans="1:10" x14ac:dyDescent="0.25">
      <c r="A20" s="6" t="s">
        <v>651</v>
      </c>
      <c r="B20" s="6">
        <v>72.05</v>
      </c>
      <c r="C20" s="6">
        <v>7.88</v>
      </c>
      <c r="D20" s="25"/>
      <c r="E20" s="30">
        <v>8.8323529409999999</v>
      </c>
      <c r="F20" s="30">
        <v>75.74613445</v>
      </c>
      <c r="G20" s="31">
        <f>C20-E20</f>
        <v>-0.95235294100000001</v>
      </c>
      <c r="H20" s="31">
        <f>B20-F20</f>
        <v>-3.6961344500000024</v>
      </c>
      <c r="I20" s="31">
        <f t="shared" si="0"/>
        <v>3.5200245137889197</v>
      </c>
      <c r="J20" s="31">
        <f t="shared" si="1"/>
        <v>0.90697612423134955</v>
      </c>
    </row>
    <row r="21" spans="1:10" x14ac:dyDescent="0.25">
      <c r="A21" s="6" t="s">
        <v>655</v>
      </c>
      <c r="B21" s="6">
        <v>73.989999999999995</v>
      </c>
      <c r="C21" s="6">
        <v>8.4</v>
      </c>
      <c r="D21" s="25"/>
      <c r="E21" s="30">
        <v>8.8323529409999999</v>
      </c>
      <c r="F21" s="30">
        <v>75.74613445</v>
      </c>
      <c r="G21" s="31">
        <f>C21-E21</f>
        <v>-0.43235294099999955</v>
      </c>
      <c r="H21" s="31">
        <f>B21-F21</f>
        <v>-1.7561344500000047</v>
      </c>
      <c r="I21" s="31">
        <f t="shared" si="0"/>
        <v>0.75926989424891866</v>
      </c>
      <c r="J21" s="31">
        <f t="shared" si="1"/>
        <v>0.18692906559134909</v>
      </c>
    </row>
    <row r="22" spans="1:10" x14ac:dyDescent="0.25">
      <c r="A22" s="6" t="s">
        <v>659</v>
      </c>
      <c r="B22" s="6">
        <v>73.819999999999993</v>
      </c>
      <c r="C22" s="6">
        <v>8.5399999999999991</v>
      </c>
      <c r="D22" s="25"/>
      <c r="E22" s="30">
        <v>8.8323529409999999</v>
      </c>
      <c r="F22" s="30">
        <v>75.74613445</v>
      </c>
      <c r="G22" s="31">
        <f>C22-E22</f>
        <v>-0.29235294100000075</v>
      </c>
      <c r="H22" s="31">
        <f>B22-F22</f>
        <v>-1.9261344500000064</v>
      </c>
      <c r="I22" s="31">
        <f t="shared" si="0"/>
        <v>0.56311107121892079</v>
      </c>
      <c r="J22" s="31">
        <f t="shared" si="1"/>
        <v>8.5470242111349917E-2</v>
      </c>
    </row>
    <row r="23" spans="1:10" x14ac:dyDescent="0.25">
      <c r="A23" s="6" t="s">
        <v>663</v>
      </c>
      <c r="B23" s="6">
        <v>76.8</v>
      </c>
      <c r="C23" s="6">
        <v>10.19</v>
      </c>
      <c r="D23" s="25"/>
      <c r="E23" s="30">
        <v>8.8323529409999999</v>
      </c>
      <c r="F23" s="30">
        <v>75.74613445</v>
      </c>
      <c r="G23" s="31">
        <f>C23-E23</f>
        <v>1.3576470589999996</v>
      </c>
      <c r="H23" s="31">
        <f>B23-F23</f>
        <v>1.0538655499999976</v>
      </c>
      <c r="I23" s="31">
        <f t="shared" si="0"/>
        <v>1.4307774645389137</v>
      </c>
      <c r="J23" s="31">
        <f t="shared" si="1"/>
        <v>1.8432055368113485</v>
      </c>
    </row>
    <row r="24" spans="1:10" x14ac:dyDescent="0.25">
      <c r="A24" s="6" t="s">
        <v>667</v>
      </c>
      <c r="B24" s="6">
        <v>70.77</v>
      </c>
      <c r="C24" s="6">
        <v>8.57</v>
      </c>
      <c r="D24" s="25"/>
      <c r="E24" s="30">
        <v>8.8323529409999999</v>
      </c>
      <c r="F24" s="30">
        <v>75.74613445</v>
      </c>
      <c r="G24" s="31">
        <f>C24-E24</f>
        <v>-0.26235294099999962</v>
      </c>
      <c r="H24" s="31">
        <f>B24-F24</f>
        <v>-4.9761344500000035</v>
      </c>
      <c r="I24" s="31">
        <f t="shared" si="0"/>
        <v>1.3055035077689165</v>
      </c>
      <c r="J24" s="31">
        <f t="shared" si="1"/>
        <v>6.8829065651349275E-2</v>
      </c>
    </row>
    <row r="25" spans="1:10" x14ac:dyDescent="0.25">
      <c r="A25" s="6" t="s">
        <v>671</v>
      </c>
      <c r="B25" s="6">
        <v>71.03</v>
      </c>
      <c r="C25" s="6">
        <v>8.4700000000000006</v>
      </c>
      <c r="D25" s="25"/>
      <c r="E25" s="30">
        <v>8.8323529409999999</v>
      </c>
      <c r="F25" s="30">
        <v>75.74613445</v>
      </c>
      <c r="G25" s="31">
        <f>C25-E25</f>
        <v>-0.36235294099999926</v>
      </c>
      <c r="H25" s="31">
        <f>B25-F25</f>
        <v>-4.7161344499999984</v>
      </c>
      <c r="I25" s="31">
        <f t="shared" si="0"/>
        <v>1.7089051881089135</v>
      </c>
      <c r="J25" s="31">
        <f t="shared" si="1"/>
        <v>0.13129965385134895</v>
      </c>
    </row>
    <row r="26" spans="1:10" x14ac:dyDescent="0.25">
      <c r="A26" s="6" t="s">
        <v>675</v>
      </c>
      <c r="B26" s="6">
        <v>79.03</v>
      </c>
      <c r="C26" s="6">
        <v>10.79</v>
      </c>
      <c r="D26" s="25"/>
      <c r="E26" s="30">
        <v>8.8323529409999999</v>
      </c>
      <c r="F26" s="30">
        <v>75.74613445</v>
      </c>
      <c r="G26" s="31">
        <f>C26-E26</f>
        <v>1.9576470589999992</v>
      </c>
      <c r="H26" s="31">
        <f>B26-F26</f>
        <v>3.2838655500000016</v>
      </c>
      <c r="I26" s="31">
        <f t="shared" si="0"/>
        <v>6.4286497361089179</v>
      </c>
      <c r="J26" s="31">
        <f t="shared" si="1"/>
        <v>3.8323820076113466</v>
      </c>
    </row>
    <row r="27" spans="1:10" x14ac:dyDescent="0.25">
      <c r="A27" s="6" t="s">
        <v>679</v>
      </c>
      <c r="B27" s="6">
        <v>77.69</v>
      </c>
      <c r="C27" s="6">
        <v>10.44</v>
      </c>
      <c r="D27" s="25"/>
      <c r="E27" s="30">
        <v>8.8323529409999999</v>
      </c>
      <c r="F27" s="30">
        <v>75.74613445</v>
      </c>
      <c r="G27" s="31">
        <f>C27-E27</f>
        <v>1.6076470589999996</v>
      </c>
      <c r="H27" s="31">
        <f>B27-F27</f>
        <v>1.9438655499999982</v>
      </c>
      <c r="I27" s="31">
        <f t="shared" si="0"/>
        <v>3.1250497345489139</v>
      </c>
      <c r="J27" s="31">
        <f t="shared" si="1"/>
        <v>2.5845290663113483</v>
      </c>
    </row>
    <row r="28" spans="1:10" x14ac:dyDescent="0.25">
      <c r="A28" s="6" t="s">
        <v>681</v>
      </c>
      <c r="B28" s="6">
        <v>83.75</v>
      </c>
      <c r="C28" s="6">
        <v>11.05</v>
      </c>
      <c r="D28" s="25"/>
      <c r="E28" s="30">
        <v>8.8323529409999999</v>
      </c>
      <c r="F28" s="30">
        <v>75.74613445</v>
      </c>
      <c r="G28" s="31">
        <f>C28-E28</f>
        <v>2.2176470590000008</v>
      </c>
      <c r="H28" s="31">
        <f>B28-F28</f>
        <v>8.0038655500000004</v>
      </c>
      <c r="I28" s="31">
        <f t="shared" si="0"/>
        <v>17.749748897588926</v>
      </c>
      <c r="J28" s="31">
        <f t="shared" si="1"/>
        <v>4.9179584782913528</v>
      </c>
    </row>
    <row r="29" spans="1:10" x14ac:dyDescent="0.25">
      <c r="A29" s="6" t="s">
        <v>685</v>
      </c>
      <c r="B29" s="6">
        <v>78.09</v>
      </c>
      <c r="C29" s="6">
        <v>10.66</v>
      </c>
      <c r="D29" s="25"/>
      <c r="E29" s="30">
        <v>8.8323529409999999</v>
      </c>
      <c r="F29" s="30">
        <v>75.74613445</v>
      </c>
      <c r="G29" s="31">
        <f>C29-E29</f>
        <v>1.8276470590000002</v>
      </c>
      <c r="H29" s="31">
        <f>B29-F29</f>
        <v>2.3438655500000039</v>
      </c>
      <c r="I29" s="31">
        <f t="shared" si="0"/>
        <v>4.2837589791489252</v>
      </c>
      <c r="J29" s="31">
        <f t="shared" si="1"/>
        <v>3.3402937722713504</v>
      </c>
    </row>
    <row r="30" spans="1:10" x14ac:dyDescent="0.25">
      <c r="A30" s="6" t="s">
        <v>687</v>
      </c>
      <c r="B30" s="6">
        <v>83.55</v>
      </c>
      <c r="C30" s="6">
        <v>11.9</v>
      </c>
      <c r="D30" s="25"/>
      <c r="E30" s="30">
        <v>8.8323529409999999</v>
      </c>
      <c r="F30" s="30">
        <v>75.74613445</v>
      </c>
      <c r="G30" s="31">
        <f>C30-E30</f>
        <v>3.0676470590000005</v>
      </c>
      <c r="H30" s="31">
        <f>B30-F30</f>
        <v>7.8038655499999976</v>
      </c>
      <c r="I30" s="31">
        <f t="shared" si="0"/>
        <v>23.939505203288913</v>
      </c>
      <c r="J30" s="31">
        <f t="shared" si="1"/>
        <v>9.4104584785913516</v>
      </c>
    </row>
    <row r="31" spans="1:10" x14ac:dyDescent="0.25">
      <c r="A31" s="6" t="s">
        <v>691</v>
      </c>
      <c r="B31" s="6">
        <v>83.05</v>
      </c>
      <c r="C31" s="6">
        <v>11.58</v>
      </c>
      <c r="D31" s="25"/>
      <c r="E31" s="30">
        <v>8.8323529409999999</v>
      </c>
      <c r="F31" s="30">
        <v>75.74613445</v>
      </c>
      <c r="G31" s="31">
        <f>C31-E31</f>
        <v>2.7476470590000002</v>
      </c>
      <c r="H31" s="31">
        <f>B31-F31</f>
        <v>7.3038655499999976</v>
      </c>
      <c r="I31" s="31">
        <f t="shared" si="0"/>
        <v>20.068444697788912</v>
      </c>
      <c r="J31" s="31">
        <f t="shared" si="1"/>
        <v>7.5495643608313507</v>
      </c>
    </row>
    <row r="32" spans="1:10" x14ac:dyDescent="0.25">
      <c r="A32" s="6" t="s">
        <v>695</v>
      </c>
      <c r="B32" s="6">
        <v>80.3</v>
      </c>
      <c r="C32" s="6">
        <v>11.47</v>
      </c>
      <c r="D32" s="25"/>
      <c r="E32" s="30">
        <v>8.8323529409999999</v>
      </c>
      <c r="F32" s="30">
        <v>75.74613445</v>
      </c>
      <c r="G32" s="31">
        <f>C32-E32</f>
        <v>2.6376470590000007</v>
      </c>
      <c r="H32" s="31">
        <f>B32-F32</f>
        <v>4.5538655499999976</v>
      </c>
      <c r="I32" s="31">
        <f t="shared" si="0"/>
        <v>12.011490075038914</v>
      </c>
      <c r="J32" s="31">
        <f t="shared" si="1"/>
        <v>6.9571820078513538</v>
      </c>
    </row>
    <row r="33" spans="1:10" x14ac:dyDescent="0.25">
      <c r="A33" s="6" t="s">
        <v>699</v>
      </c>
      <c r="B33" s="6">
        <v>76.03</v>
      </c>
      <c r="C33" s="6">
        <v>9.86</v>
      </c>
      <c r="D33" s="25"/>
      <c r="E33" s="30">
        <v>8.8323529409999999</v>
      </c>
      <c r="F33" s="30">
        <v>75.74613445</v>
      </c>
      <c r="G33" s="31">
        <f>C33-E33</f>
        <v>1.0276470589999995</v>
      </c>
      <c r="H33" s="31">
        <f>B33-F33</f>
        <v>0.28386555000000158</v>
      </c>
      <c r="I33" s="31">
        <f t="shared" si="0"/>
        <v>0.29171359760891896</v>
      </c>
      <c r="J33" s="31">
        <f t="shared" si="1"/>
        <v>1.0560584778713484</v>
      </c>
    </row>
    <row r="34" spans="1:10" x14ac:dyDescent="0.25">
      <c r="A34" s="6" t="s">
        <v>702</v>
      </c>
      <c r="B34" s="6">
        <v>75.010000000000005</v>
      </c>
      <c r="C34" s="6">
        <v>9.15</v>
      </c>
      <c r="D34" s="25"/>
      <c r="E34" s="30">
        <v>8.8323529409999999</v>
      </c>
      <c r="F34" s="30">
        <v>75.74613445</v>
      </c>
      <c r="G34" s="31">
        <f>C34-E34</f>
        <v>0.31764705900000045</v>
      </c>
      <c r="H34" s="31">
        <f>B34-F34</f>
        <v>-0.73613444999999444</v>
      </c>
      <c r="I34" s="31">
        <f t="shared" si="0"/>
        <v>-0.23383094307108113</v>
      </c>
      <c r="J34" s="31">
        <f t="shared" si="1"/>
        <v>0.10089965409134977</v>
      </c>
    </row>
    <row r="35" spans="1:10" x14ac:dyDescent="0.25">
      <c r="A35" s="6" t="s">
        <v>707</v>
      </c>
      <c r="B35" s="6">
        <v>72.55</v>
      </c>
      <c r="C35" s="6">
        <v>7.4</v>
      </c>
      <c r="D35" s="25"/>
      <c r="E35" s="30">
        <v>8.8323529409999999</v>
      </c>
      <c r="F35" s="30">
        <v>75.74613445</v>
      </c>
      <c r="G35" s="31">
        <f>C35-E35</f>
        <v>-1.4323529409999995</v>
      </c>
      <c r="H35" s="31">
        <f>B35-F35</f>
        <v>-3.1961344500000024</v>
      </c>
      <c r="I35" s="31">
        <f t="shared" si="0"/>
        <v>4.5779925792889191</v>
      </c>
      <c r="J35" s="31">
        <f t="shared" si="1"/>
        <v>2.051634947591348</v>
      </c>
    </row>
    <row r="36" spans="1:10" x14ac:dyDescent="0.25">
      <c r="A36" s="6" t="s">
        <v>711</v>
      </c>
      <c r="B36" s="6">
        <v>74.52</v>
      </c>
      <c r="C36" s="6">
        <v>7.91</v>
      </c>
      <c r="D36" s="25"/>
      <c r="E36" s="30">
        <v>8.8323529409999999</v>
      </c>
      <c r="F36" s="30">
        <v>75.74613445</v>
      </c>
      <c r="G36" s="31">
        <f>C36-E36</f>
        <v>-0.92235294099999976</v>
      </c>
      <c r="H36" s="31">
        <f>B36-F36</f>
        <v>-1.2261344500000035</v>
      </c>
      <c r="I36" s="31">
        <f t="shared" si="0"/>
        <v>1.1309287160189203</v>
      </c>
      <c r="J36" s="31">
        <f t="shared" si="1"/>
        <v>0.85073494777134906</v>
      </c>
    </row>
    <row r="37" spans="1:10" x14ac:dyDescent="0.25">
      <c r="A37" s="6" t="s">
        <v>715</v>
      </c>
      <c r="B37" s="6">
        <v>70.97</v>
      </c>
      <c r="C37" s="6">
        <v>7.36</v>
      </c>
      <c r="D37" s="25"/>
      <c r="E37" s="30">
        <v>8.8323529409999999</v>
      </c>
      <c r="F37" s="30">
        <v>75.74613445</v>
      </c>
      <c r="G37" s="31">
        <f>C37-E37</f>
        <v>-1.4723529409999996</v>
      </c>
      <c r="H37" s="31">
        <f>B37-F37</f>
        <v>-4.7761344500000007</v>
      </c>
      <c r="I37" s="31">
        <f t="shared" si="0"/>
        <v>7.0321556040689162</v>
      </c>
      <c r="J37" s="31">
        <f t="shared" si="1"/>
        <v>2.1678231828713481</v>
      </c>
    </row>
    <row r="38" spans="1:10" x14ac:dyDescent="0.25">
      <c r="A38" s="6" t="s">
        <v>719</v>
      </c>
      <c r="B38" s="6">
        <v>69.62</v>
      </c>
      <c r="C38" s="6">
        <v>6.87</v>
      </c>
      <c r="D38" s="25"/>
      <c r="E38" s="30">
        <v>8.8323529409999999</v>
      </c>
      <c r="F38" s="30">
        <v>75.74613445</v>
      </c>
      <c r="G38" s="31">
        <f>C38-E38</f>
        <v>-1.9623529409999998</v>
      </c>
      <c r="H38" s="31">
        <f>B38-F38</f>
        <v>-6.126134449999995</v>
      </c>
      <c r="I38" s="31">
        <f t="shared" si="0"/>
        <v>12.021637954918907</v>
      </c>
      <c r="J38" s="31">
        <f t="shared" si="1"/>
        <v>3.8508290650513488</v>
      </c>
    </row>
    <row r="39" spans="1:10" x14ac:dyDescent="0.25">
      <c r="A39" s="6" t="s">
        <v>722</v>
      </c>
      <c r="B39" s="6">
        <v>72.48</v>
      </c>
      <c r="C39" s="6">
        <v>7.87</v>
      </c>
      <c r="D39" s="25"/>
      <c r="E39" s="30">
        <v>8.8323529409999999</v>
      </c>
      <c r="F39" s="30">
        <v>75.74613445</v>
      </c>
      <c r="G39" s="31">
        <f>C39-E39</f>
        <v>-0.9623529409999998</v>
      </c>
      <c r="H39" s="31">
        <f>B39-F39</f>
        <v>-3.2661344499999956</v>
      </c>
      <c r="I39" s="31">
        <f t="shared" si="0"/>
        <v>3.1431740936589123</v>
      </c>
      <c r="J39" s="31">
        <f t="shared" si="1"/>
        <v>0.92612318305134911</v>
      </c>
    </row>
    <row r="40" spans="1:10" x14ac:dyDescent="0.25">
      <c r="A40" s="6" t="s">
        <v>726</v>
      </c>
      <c r="B40" s="6">
        <v>75.16</v>
      </c>
      <c r="C40" s="6">
        <v>8.65</v>
      </c>
      <c r="D40" s="25"/>
      <c r="E40" s="30">
        <v>8.8323529409999999</v>
      </c>
      <c r="F40" s="30">
        <v>75.74613445</v>
      </c>
      <c r="G40" s="31">
        <f>C40-E40</f>
        <v>-0.18235294099999955</v>
      </c>
      <c r="H40" s="31">
        <f>B40-F40</f>
        <v>-0.58613445000000297</v>
      </c>
      <c r="I40" s="31">
        <f t="shared" si="0"/>
        <v>0.10688334077891773</v>
      </c>
      <c r="J40" s="31">
        <f t="shared" si="1"/>
        <v>3.3252595091349313E-2</v>
      </c>
    </row>
    <row r="41" spans="1:10" x14ac:dyDescent="0.25">
      <c r="A41" s="6" t="s">
        <v>729</v>
      </c>
      <c r="B41" s="6">
        <v>70.63</v>
      </c>
      <c r="C41" s="6">
        <v>6.9</v>
      </c>
      <c r="D41" s="25"/>
      <c r="E41" s="30">
        <v>8.8323529409999999</v>
      </c>
      <c r="F41" s="30">
        <v>75.74613445</v>
      </c>
      <c r="G41" s="31">
        <f>C41-E41</f>
        <v>-1.9323529409999995</v>
      </c>
      <c r="H41" s="31">
        <f>B41-F41</f>
        <v>-5.1161344500000041</v>
      </c>
      <c r="I41" s="31">
        <f t="shared" si="0"/>
        <v>9.8861774510089226</v>
      </c>
      <c r="J41" s="31">
        <f t="shared" si="1"/>
        <v>3.7339878885913476</v>
      </c>
    </row>
    <row r="42" spans="1:10" x14ac:dyDescent="0.25">
      <c r="A42" s="6" t="s">
        <v>733</v>
      </c>
      <c r="B42" s="6">
        <v>72.099999999999994</v>
      </c>
      <c r="C42" s="6">
        <v>7.83</v>
      </c>
      <c r="D42" s="25"/>
      <c r="E42" s="30">
        <v>8.8323529409999999</v>
      </c>
      <c r="F42" s="30">
        <v>75.74613445</v>
      </c>
      <c r="G42" s="31">
        <f>C42-E42</f>
        <v>-1.0023529409999998</v>
      </c>
      <c r="H42" s="31">
        <f>B42-F42</f>
        <v>-3.6461344500000052</v>
      </c>
      <c r="I42" s="31">
        <f t="shared" si="0"/>
        <v>3.6547135892389222</v>
      </c>
      <c r="J42" s="31">
        <f t="shared" si="1"/>
        <v>1.0047114183313492</v>
      </c>
    </row>
    <row r="43" spans="1:10" x14ac:dyDescent="0.25">
      <c r="A43" s="6" t="s">
        <v>737</v>
      </c>
      <c r="B43" s="6">
        <v>75.959999999999994</v>
      </c>
      <c r="C43" s="6">
        <v>8.17</v>
      </c>
      <c r="D43" s="25"/>
      <c r="E43" s="30">
        <v>8.8323529409999999</v>
      </c>
      <c r="F43" s="30">
        <v>75.74613445</v>
      </c>
      <c r="G43" s="31">
        <f>C43-E43</f>
        <v>-0.66235294099999997</v>
      </c>
      <c r="H43" s="31">
        <f>B43-F43</f>
        <v>0.21386554999999419</v>
      </c>
      <c r="I43" s="31">
        <f t="shared" si="0"/>
        <v>-0.1416544760210787</v>
      </c>
      <c r="J43" s="31">
        <f t="shared" si="1"/>
        <v>0.43871141845134942</v>
      </c>
    </row>
    <row r="44" spans="1:10" x14ac:dyDescent="0.25">
      <c r="A44" s="6" t="s">
        <v>740</v>
      </c>
      <c r="B44" s="6">
        <v>78.16</v>
      </c>
      <c r="C44" s="6">
        <v>9.2899999999999991</v>
      </c>
      <c r="D44" s="25"/>
      <c r="E44" s="30">
        <v>8.8323529409999999</v>
      </c>
      <c r="F44" s="30">
        <v>75.74613445</v>
      </c>
      <c r="G44" s="31">
        <f>C44-E44</f>
        <v>0.45764705899999925</v>
      </c>
      <c r="H44" s="31">
        <f>B44-F44</f>
        <v>2.413865549999997</v>
      </c>
      <c r="I44" s="31">
        <f t="shared" si="0"/>
        <v>1.1046984697789142</v>
      </c>
      <c r="J44" s="31">
        <f t="shared" si="1"/>
        <v>0.2094408306113488</v>
      </c>
    </row>
    <row r="45" spans="1:10" x14ac:dyDescent="0.25">
      <c r="A45" s="6" t="s">
        <v>744</v>
      </c>
      <c r="B45" s="6">
        <v>79.3</v>
      </c>
      <c r="C45" s="6">
        <v>10.01</v>
      </c>
      <c r="D45" s="25"/>
      <c r="E45" s="30">
        <v>8.8323529409999999</v>
      </c>
      <c r="F45" s="30">
        <v>75.74613445</v>
      </c>
      <c r="G45" s="31">
        <f>C45-E45</f>
        <v>1.1776470589999999</v>
      </c>
      <c r="H45" s="31">
        <f>B45-F45</f>
        <v>3.5538655499999976</v>
      </c>
      <c r="I45" s="31">
        <f t="shared" si="0"/>
        <v>4.1851993130389138</v>
      </c>
      <c r="J45" s="31">
        <f t="shared" si="1"/>
        <v>1.3868525955713491</v>
      </c>
    </row>
    <row r="46" spans="1:10" x14ac:dyDescent="0.25">
      <c r="A46" s="6" t="s">
        <v>748</v>
      </c>
      <c r="B46" s="6">
        <v>72.540000000000006</v>
      </c>
      <c r="C46" s="6">
        <v>7.68</v>
      </c>
      <c r="D46" s="25"/>
      <c r="E46" s="30">
        <v>8.8323529409999999</v>
      </c>
      <c r="F46" s="30">
        <v>75.74613445</v>
      </c>
      <c r="G46" s="31">
        <f>C46-E46</f>
        <v>-1.1523529410000002</v>
      </c>
      <c r="H46" s="31">
        <f>B46-F46</f>
        <v>-3.2061344499999933</v>
      </c>
      <c r="I46" s="31">
        <f t="shared" si="0"/>
        <v>3.6945984626989103</v>
      </c>
      <c r="J46" s="31">
        <f t="shared" si="1"/>
        <v>1.3279173006313498</v>
      </c>
    </row>
    <row r="47" spans="1:10" x14ac:dyDescent="0.25">
      <c r="A47" s="6" t="s">
        <v>752</v>
      </c>
      <c r="B47" s="6">
        <v>78.11</v>
      </c>
      <c r="C47" s="6">
        <v>9.26</v>
      </c>
      <c r="D47" s="25"/>
      <c r="E47" s="30">
        <v>8.8323529409999999</v>
      </c>
      <c r="F47" s="30">
        <v>75.74613445</v>
      </c>
      <c r="G47" s="31">
        <f>C47-E47</f>
        <v>0.42764705899999989</v>
      </c>
      <c r="H47" s="31">
        <f>B47-F47</f>
        <v>2.3638655499999999</v>
      </c>
      <c r="I47" s="31">
        <f t="shared" si="0"/>
        <v>1.0109001503289172</v>
      </c>
      <c r="J47" s="31">
        <f t="shared" si="1"/>
        <v>0.18288200707134938</v>
      </c>
    </row>
    <row r="48" spans="1:10" x14ac:dyDescent="0.25">
      <c r="A48" s="6" t="s">
        <v>756</v>
      </c>
      <c r="B48" s="6">
        <v>75.53</v>
      </c>
      <c r="C48" s="6">
        <v>7.88</v>
      </c>
      <c r="D48" s="25"/>
      <c r="E48" s="30">
        <v>8.8323529409999999</v>
      </c>
      <c r="F48" s="30">
        <v>75.74613445</v>
      </c>
      <c r="G48" s="31">
        <f>C48-E48</f>
        <v>-0.95235294100000001</v>
      </c>
      <c r="H48" s="31">
        <f>B48-F48</f>
        <v>-0.21613444999999842</v>
      </c>
      <c r="I48" s="31">
        <f t="shared" si="0"/>
        <v>0.20583627910891594</v>
      </c>
      <c r="J48" s="31">
        <f t="shared" si="1"/>
        <v>0.90697612423134955</v>
      </c>
    </row>
    <row r="49" spans="1:10" x14ac:dyDescent="0.25">
      <c r="A49" s="6" t="s">
        <v>760</v>
      </c>
      <c r="B49" s="6">
        <v>72.02</v>
      </c>
      <c r="C49" s="6">
        <v>7.29</v>
      </c>
      <c r="D49" s="25"/>
      <c r="E49" s="30">
        <v>8.8323529409999999</v>
      </c>
      <c r="F49" s="30">
        <v>75.74613445</v>
      </c>
      <c r="G49" s="31">
        <f>C49-E49</f>
        <v>-1.5423529409999999</v>
      </c>
      <c r="H49" s="31">
        <f>B49-F49</f>
        <v>-3.7261344500000035</v>
      </c>
      <c r="I49" s="31">
        <f t="shared" si="0"/>
        <v>5.7470144275189226</v>
      </c>
      <c r="J49" s="31">
        <f t="shared" si="1"/>
        <v>2.3788525946113492</v>
      </c>
    </row>
    <row r="50" spans="1:10" x14ac:dyDescent="0.25">
      <c r="A50" s="6" t="s">
        <v>764</v>
      </c>
      <c r="B50" s="6">
        <v>71.42</v>
      </c>
      <c r="C50" s="6">
        <v>7.26</v>
      </c>
      <c r="D50" s="25"/>
      <c r="E50" s="30">
        <v>8.8323529409999999</v>
      </c>
      <c r="F50" s="30">
        <v>75.74613445</v>
      </c>
      <c r="G50" s="31">
        <f>C50-E50</f>
        <v>-1.5723529410000001</v>
      </c>
      <c r="H50" s="31">
        <f>B50-F50</f>
        <v>-4.3261344499999979</v>
      </c>
      <c r="I50" s="31">
        <f t="shared" si="0"/>
        <v>6.8022102256189143</v>
      </c>
      <c r="J50" s="31">
        <f t="shared" si="1"/>
        <v>2.47229377107135</v>
      </c>
    </row>
    <row r="51" spans="1:10" x14ac:dyDescent="0.25">
      <c r="A51" s="6" t="s">
        <v>768</v>
      </c>
      <c r="B51" s="6">
        <v>72.53</v>
      </c>
      <c r="C51" s="6">
        <v>7.73</v>
      </c>
      <c r="D51" s="25"/>
      <c r="E51" s="30">
        <v>8.8323529409999999</v>
      </c>
      <c r="F51" s="30">
        <v>75.74613445</v>
      </c>
      <c r="G51" s="31">
        <f>C51-E51</f>
        <v>-1.1023529409999995</v>
      </c>
      <c r="H51" s="31">
        <f>B51-F51</f>
        <v>-3.2161344499999984</v>
      </c>
      <c r="I51" s="31">
        <f t="shared" si="0"/>
        <v>3.5453152696089139</v>
      </c>
      <c r="J51" s="31">
        <f t="shared" si="1"/>
        <v>1.2151820065313483</v>
      </c>
    </row>
    <row r="52" spans="1:10" x14ac:dyDescent="0.25">
      <c r="A52" s="6" t="s">
        <v>772</v>
      </c>
      <c r="B52" s="6">
        <v>74.099999999999994</v>
      </c>
      <c r="C52" s="6">
        <v>7.82</v>
      </c>
      <c r="D52" s="25"/>
      <c r="E52" s="30">
        <v>8.8323529409999999</v>
      </c>
      <c r="F52" s="30">
        <v>75.74613445</v>
      </c>
      <c r="G52" s="31">
        <f>C52-E52</f>
        <v>-1.0123529409999996</v>
      </c>
      <c r="H52" s="31">
        <f>B52-F52</f>
        <v>-1.6461344500000052</v>
      </c>
      <c r="I52" s="31">
        <f t="shared" si="0"/>
        <v>1.6664690517389222</v>
      </c>
      <c r="J52" s="31">
        <f t="shared" si="1"/>
        <v>1.0248584771513487</v>
      </c>
    </row>
    <row r="53" spans="1:10" x14ac:dyDescent="0.25">
      <c r="A53" s="6" t="s">
        <v>776</v>
      </c>
      <c r="B53" s="6">
        <v>77.209999999999994</v>
      </c>
      <c r="C53" s="6">
        <v>9.35</v>
      </c>
      <c r="D53" s="25"/>
      <c r="E53" s="30">
        <v>8.8323529409999999</v>
      </c>
      <c r="F53" s="30">
        <v>75.74613445</v>
      </c>
      <c r="G53" s="31">
        <f>C53-E53</f>
        <v>0.51764705899999974</v>
      </c>
      <c r="H53" s="31">
        <f>B53-F53</f>
        <v>1.4638655499999942</v>
      </c>
      <c r="I53" s="31">
        <f t="shared" si="0"/>
        <v>0.75776569672891403</v>
      </c>
      <c r="J53" s="31">
        <f t="shared" si="1"/>
        <v>0.26795847769134923</v>
      </c>
    </row>
    <row r="54" spans="1:10" x14ac:dyDescent="0.25">
      <c r="A54" s="6" t="s">
        <v>780</v>
      </c>
      <c r="B54" s="6">
        <v>74.319999999999993</v>
      </c>
      <c r="C54" s="6">
        <v>8.27</v>
      </c>
      <c r="D54" s="25"/>
      <c r="E54" s="30">
        <v>8.8323529409999999</v>
      </c>
      <c r="F54" s="30">
        <v>75.74613445</v>
      </c>
      <c r="G54" s="31">
        <f>C54-E54</f>
        <v>-0.56235294100000033</v>
      </c>
      <c r="H54" s="31">
        <f>B54-F54</f>
        <v>-1.4261344500000064</v>
      </c>
      <c r="I54" s="31">
        <f t="shared" si="0"/>
        <v>0.80199090221892155</v>
      </c>
      <c r="J54" s="31">
        <f t="shared" si="1"/>
        <v>0.31624083025134986</v>
      </c>
    </row>
    <row r="55" spans="1:10" x14ac:dyDescent="0.25">
      <c r="A55" s="6" t="s">
        <v>784</v>
      </c>
      <c r="B55" s="6">
        <v>74.569999999999993</v>
      </c>
      <c r="C55" s="6">
        <v>8.2799999999999994</v>
      </c>
      <c r="D55" s="25"/>
      <c r="E55" s="30">
        <v>8.8323529409999999</v>
      </c>
      <c r="F55" s="30">
        <v>75.74613445</v>
      </c>
      <c r="G55" s="31">
        <f>C55-E55</f>
        <v>-0.55235294100000054</v>
      </c>
      <c r="H55" s="31">
        <f>B55-F55</f>
        <v>-1.1761344500000064</v>
      </c>
      <c r="I55" s="31">
        <f t="shared" si="0"/>
        <v>0.64964132246892159</v>
      </c>
      <c r="J55" s="31">
        <f t="shared" si="1"/>
        <v>0.30509377143135008</v>
      </c>
    </row>
    <row r="56" spans="1:10" x14ac:dyDescent="0.25">
      <c r="A56" s="6" t="s">
        <v>787</v>
      </c>
      <c r="B56" s="6">
        <v>75.67</v>
      </c>
      <c r="C56" s="6">
        <v>8.16</v>
      </c>
      <c r="D56" s="25"/>
      <c r="E56" s="30">
        <v>8.8323529409999999</v>
      </c>
      <c r="F56" s="30">
        <v>75.74613445</v>
      </c>
      <c r="G56" s="31">
        <f>C56-E56</f>
        <v>-0.67235294099999976</v>
      </c>
      <c r="H56" s="31">
        <f>B56-F56</f>
        <v>-7.6134449999997855E-2</v>
      </c>
      <c r="I56" s="31">
        <f t="shared" si="0"/>
        <v>5.1189221368915988E-2</v>
      </c>
      <c r="J56" s="31">
        <f t="shared" si="1"/>
        <v>0.45205847727134918</v>
      </c>
    </row>
    <row r="57" spans="1:10" x14ac:dyDescent="0.25">
      <c r="A57" s="6" t="s">
        <v>791</v>
      </c>
      <c r="B57" s="6">
        <v>71.86</v>
      </c>
      <c r="C57" s="6">
        <v>7.53</v>
      </c>
      <c r="D57" s="25"/>
      <c r="E57" s="30">
        <v>8.8323529409999999</v>
      </c>
      <c r="F57" s="30">
        <v>75.74613445</v>
      </c>
      <c r="G57" s="31">
        <f>C57-E57</f>
        <v>-1.3023529409999997</v>
      </c>
      <c r="H57" s="31">
        <f>B57-F57</f>
        <v>-3.8861344500000001</v>
      </c>
      <c r="I57" s="31">
        <f t="shared" si="0"/>
        <v>5.0611186300789166</v>
      </c>
      <c r="J57" s="31">
        <f t="shared" si="1"/>
        <v>1.6961231829313486</v>
      </c>
    </row>
    <row r="58" spans="1:10" x14ac:dyDescent="0.25">
      <c r="A58" s="6" t="s">
        <v>795</v>
      </c>
      <c r="B58" s="6">
        <v>74.34</v>
      </c>
      <c r="C58" s="6">
        <v>7.74</v>
      </c>
      <c r="D58" s="25"/>
      <c r="E58" s="30">
        <v>8.8323529409999999</v>
      </c>
      <c r="F58" s="30">
        <v>75.74613445</v>
      </c>
      <c r="G58" s="31">
        <f>C58-E58</f>
        <v>-1.0923529409999997</v>
      </c>
      <c r="H58" s="31">
        <f>B58-F58</f>
        <v>-1.4061344499999961</v>
      </c>
      <c r="I58" s="31">
        <f t="shared" si="0"/>
        <v>1.5359951018989129</v>
      </c>
      <c r="J58" s="31">
        <f t="shared" si="1"/>
        <v>1.1932349477113489</v>
      </c>
    </row>
    <row r="59" spans="1:10" x14ac:dyDescent="0.25">
      <c r="A59" s="6" t="s">
        <v>799</v>
      </c>
      <c r="B59" s="6">
        <v>70.73</v>
      </c>
      <c r="C59" s="6">
        <v>7.08</v>
      </c>
      <c r="D59" s="25"/>
      <c r="E59" s="30">
        <v>8.8323529409999999</v>
      </c>
      <c r="F59" s="30">
        <v>75.74613445</v>
      </c>
      <c r="G59" s="31">
        <f>C59-E59</f>
        <v>-1.7523529409999998</v>
      </c>
      <c r="H59" s="31">
        <f>B59-F59</f>
        <v>-5.0161344499999956</v>
      </c>
      <c r="I59" s="31">
        <f t="shared" si="0"/>
        <v>8.7900379559089092</v>
      </c>
      <c r="J59" s="31">
        <f t="shared" si="1"/>
        <v>3.0707408298313488</v>
      </c>
    </row>
    <row r="60" spans="1:10" x14ac:dyDescent="0.25">
      <c r="A60" s="6" t="s">
        <v>803</v>
      </c>
      <c r="B60" s="6">
        <v>71.95</v>
      </c>
      <c r="C60" s="6">
        <v>7.48</v>
      </c>
      <c r="D60" s="25"/>
      <c r="E60" s="30">
        <v>8.8323529409999999</v>
      </c>
      <c r="F60" s="30">
        <v>75.74613445</v>
      </c>
      <c r="G60" s="31">
        <f>C60-E60</f>
        <v>-1.3523529409999995</v>
      </c>
      <c r="H60" s="31">
        <f>B60-F60</f>
        <v>-3.7961344499999967</v>
      </c>
      <c r="I60" s="31">
        <f t="shared" si="0"/>
        <v>5.1337135878889111</v>
      </c>
      <c r="J60" s="31">
        <f t="shared" si="1"/>
        <v>1.8288584770313481</v>
      </c>
    </row>
    <row r="61" spans="1:10" x14ac:dyDescent="0.25">
      <c r="A61" s="6" t="s">
        <v>807</v>
      </c>
      <c r="B61" s="6">
        <v>68.650000000000006</v>
      </c>
      <c r="C61" s="6">
        <v>6.56</v>
      </c>
      <c r="D61" s="25"/>
      <c r="E61" s="30">
        <v>8.8323529409999999</v>
      </c>
      <c r="F61" s="30">
        <v>75.74613445</v>
      </c>
      <c r="G61" s="31">
        <f>C61-E61</f>
        <v>-2.2723529410000003</v>
      </c>
      <c r="H61" s="31">
        <f>B61-F61</f>
        <v>-7.0961344499999939</v>
      </c>
      <c r="I61" s="31">
        <f t="shared" si="0"/>
        <v>16.124921987188905</v>
      </c>
      <c r="J61" s="31">
        <f t="shared" si="1"/>
        <v>5.1635878884713504</v>
      </c>
    </row>
    <row r="62" spans="1:10" x14ac:dyDescent="0.25">
      <c r="A62" s="6" t="s">
        <v>811</v>
      </c>
      <c r="B62" s="6">
        <v>71.7</v>
      </c>
      <c r="C62" s="6">
        <v>7.36</v>
      </c>
      <c r="D62" s="25"/>
      <c r="E62" s="30">
        <v>8.8323529409999999</v>
      </c>
      <c r="F62" s="30">
        <v>75.74613445</v>
      </c>
      <c r="G62" s="31">
        <f>C62-E62</f>
        <v>-1.4723529409999996</v>
      </c>
      <c r="H62" s="31">
        <f>B62-F62</f>
        <v>-4.0461344499999967</v>
      </c>
      <c r="I62" s="31">
        <f t="shared" si="0"/>
        <v>5.9573379571389111</v>
      </c>
      <c r="J62" s="31">
        <f t="shared" si="1"/>
        <v>2.1678231828713481</v>
      </c>
    </row>
    <row r="63" spans="1:10" x14ac:dyDescent="0.25">
      <c r="A63" s="6" t="s">
        <v>815</v>
      </c>
      <c r="B63" s="6">
        <v>70.180000000000007</v>
      </c>
      <c r="C63" s="6">
        <v>6.41</v>
      </c>
      <c r="D63" s="25"/>
      <c r="E63" s="30">
        <v>8.8323529409999999</v>
      </c>
      <c r="F63" s="30">
        <v>75.74613445</v>
      </c>
      <c r="G63" s="31">
        <f>C63-E63</f>
        <v>-2.4223529409999998</v>
      </c>
      <c r="H63" s="31">
        <f>B63-F63</f>
        <v>-5.5661344499999927</v>
      </c>
      <c r="I63" s="31">
        <f t="shared" si="0"/>
        <v>13.483142154958898</v>
      </c>
      <c r="J63" s="31">
        <f t="shared" si="1"/>
        <v>5.8677937707713479</v>
      </c>
    </row>
    <row r="64" spans="1:10" x14ac:dyDescent="0.25">
      <c r="A64" s="6" t="s">
        <v>818</v>
      </c>
      <c r="B64" s="6">
        <v>82.15</v>
      </c>
      <c r="C64" s="6">
        <v>11.43</v>
      </c>
      <c r="D64" s="25"/>
      <c r="E64" s="30">
        <v>8.8323529409999999</v>
      </c>
      <c r="F64" s="30">
        <v>75.74613445</v>
      </c>
      <c r="G64" s="31">
        <f>C64-E64</f>
        <v>2.5976470589999998</v>
      </c>
      <c r="H64" s="31">
        <f>B64-F64</f>
        <v>6.4038655500000061</v>
      </c>
      <c r="I64" s="31">
        <f t="shared" si="0"/>
        <v>16.634982512188934</v>
      </c>
      <c r="J64" s="31">
        <f t="shared" si="1"/>
        <v>6.7477702431313489</v>
      </c>
    </row>
    <row r="65" spans="1:10" x14ac:dyDescent="0.25">
      <c r="A65" s="6" t="s">
        <v>821</v>
      </c>
      <c r="B65" s="6">
        <v>84.41</v>
      </c>
      <c r="C65" s="6">
        <v>11.25</v>
      </c>
      <c r="D65" s="25"/>
      <c r="E65" s="30">
        <v>8.8323529409999999</v>
      </c>
      <c r="F65" s="30">
        <v>75.74613445</v>
      </c>
      <c r="G65" s="31">
        <f>C65-E65</f>
        <v>2.4176470590000001</v>
      </c>
      <c r="H65" s="31">
        <f>B65-F65</f>
        <v>8.663865549999997</v>
      </c>
      <c r="I65" s="31">
        <f t="shared" si="0"/>
        <v>20.94616906652891</v>
      </c>
      <c r="J65" s="31">
        <f t="shared" si="1"/>
        <v>5.8450173018913496</v>
      </c>
    </row>
    <row r="66" spans="1:10" x14ac:dyDescent="0.25">
      <c r="A66" s="6" t="s">
        <v>824</v>
      </c>
      <c r="B66" s="6">
        <v>85.72</v>
      </c>
      <c r="C66" s="6">
        <v>11.48</v>
      </c>
      <c r="D66" s="25"/>
      <c r="E66" s="30">
        <v>8.8323529409999999</v>
      </c>
      <c r="F66" s="30">
        <v>75.74613445</v>
      </c>
      <c r="G66" s="31">
        <f>C66-E66</f>
        <v>2.6476470590000005</v>
      </c>
      <c r="H66" s="31">
        <f>B66-F66</f>
        <v>9.9738655499999993</v>
      </c>
      <c r="I66" s="31">
        <f t="shared" si="0"/>
        <v>26.40727579031892</v>
      </c>
      <c r="J66" s="31">
        <f t="shared" si="1"/>
        <v>7.0100349490313523</v>
      </c>
    </row>
    <row r="67" spans="1:10" x14ac:dyDescent="0.25">
      <c r="A67" s="6" t="s">
        <v>827</v>
      </c>
      <c r="B67" s="6">
        <v>85.24</v>
      </c>
      <c r="C67" s="6">
        <v>11.05</v>
      </c>
      <c r="D67" s="25"/>
      <c r="E67" s="30">
        <v>8.8323529409999999</v>
      </c>
      <c r="F67" s="30">
        <v>75.74613445</v>
      </c>
      <c r="G67" s="31">
        <f>C67-E67</f>
        <v>2.2176470590000008</v>
      </c>
      <c r="H67" s="31">
        <f>B67-F67</f>
        <v>9.4938655499999953</v>
      </c>
      <c r="I67" s="31">
        <f t="shared" ref="I67:I120" si="2">G67*H67</f>
        <v>21.054043015498916</v>
      </c>
      <c r="J67" s="31">
        <f t="shared" ref="J67:J120" si="3">G67*G67</f>
        <v>4.9179584782913528</v>
      </c>
    </row>
    <row r="68" spans="1:10" x14ac:dyDescent="0.25">
      <c r="A68" s="6" t="s">
        <v>830</v>
      </c>
      <c r="B68" s="6">
        <v>77.209999999999994</v>
      </c>
      <c r="C68" s="6">
        <v>9.34</v>
      </c>
      <c r="D68" s="25"/>
      <c r="E68" s="30">
        <v>8.8323529409999999</v>
      </c>
      <c r="F68" s="30">
        <v>75.74613445</v>
      </c>
      <c r="G68" s="31">
        <f>C68-E68</f>
        <v>0.50764705899999996</v>
      </c>
      <c r="H68" s="31">
        <f>B68-F68</f>
        <v>1.4638655499999942</v>
      </c>
      <c r="I68" s="31">
        <f t="shared" si="2"/>
        <v>0.74312704122891449</v>
      </c>
      <c r="J68" s="31">
        <f t="shared" si="3"/>
        <v>0.25770553651134942</v>
      </c>
    </row>
    <row r="69" spans="1:10" x14ac:dyDescent="0.25">
      <c r="A69" s="6" t="s">
        <v>833</v>
      </c>
      <c r="B69" s="6">
        <v>77.5</v>
      </c>
      <c r="C69" s="6">
        <v>9.2799999999999994</v>
      </c>
      <c r="D69" s="25"/>
      <c r="E69" s="30">
        <v>8.8323529409999999</v>
      </c>
      <c r="F69" s="30">
        <v>75.74613445</v>
      </c>
      <c r="G69" s="31">
        <f>C69-E69</f>
        <v>0.44764705899999946</v>
      </c>
      <c r="H69" s="31">
        <f>B69-F69</f>
        <v>1.7538655500000004</v>
      </c>
      <c r="I69" s="31">
        <f t="shared" si="2"/>
        <v>0.78511275533891667</v>
      </c>
      <c r="J69" s="31">
        <f t="shared" si="3"/>
        <v>0.200387889431349</v>
      </c>
    </row>
    <row r="70" spans="1:10" x14ac:dyDescent="0.25">
      <c r="A70" s="6" t="s">
        <v>838</v>
      </c>
      <c r="B70" s="6">
        <v>76.180000000000007</v>
      </c>
      <c r="C70" s="6">
        <v>9.1999999999999993</v>
      </c>
      <c r="D70" s="25"/>
      <c r="E70" s="30">
        <v>8.8323529409999999</v>
      </c>
      <c r="F70" s="30">
        <v>75.74613445</v>
      </c>
      <c r="G70" s="31">
        <f>C70-E70</f>
        <v>0.36764705899999939</v>
      </c>
      <c r="H70" s="31">
        <f>B70-F70</f>
        <v>0.43386555000000726</v>
      </c>
      <c r="I70" s="31">
        <f t="shared" si="2"/>
        <v>0.15950939345891985</v>
      </c>
      <c r="J70" s="31">
        <f t="shared" si="3"/>
        <v>0.13516435999134904</v>
      </c>
    </row>
    <row r="71" spans="1:10" x14ac:dyDescent="0.25">
      <c r="A71" s="6" t="s">
        <v>840</v>
      </c>
      <c r="B71" s="6">
        <v>82.05</v>
      </c>
      <c r="C71" s="6">
        <v>9.81</v>
      </c>
      <c r="D71" s="25"/>
      <c r="E71" s="30">
        <v>8.8323529409999999</v>
      </c>
      <c r="F71" s="30">
        <v>75.74613445</v>
      </c>
      <c r="G71" s="31">
        <f>C71-E71</f>
        <v>0.9776470590000006</v>
      </c>
      <c r="H71" s="31">
        <f>B71-F71</f>
        <v>6.3038655499999976</v>
      </c>
      <c r="I71" s="31">
        <f t="shared" si="2"/>
        <v>6.1629556152889187</v>
      </c>
      <c r="J71" s="31">
        <f t="shared" si="3"/>
        <v>0.95579377197135063</v>
      </c>
    </row>
    <row r="72" spans="1:10" x14ac:dyDescent="0.25">
      <c r="A72" s="6" t="s">
        <v>843</v>
      </c>
      <c r="B72" s="6">
        <v>72.14</v>
      </c>
      <c r="C72" s="6">
        <v>7.35</v>
      </c>
      <c r="D72" s="25"/>
      <c r="E72" s="30">
        <v>8.8323529409999999</v>
      </c>
      <c r="F72" s="30">
        <v>75.74613445</v>
      </c>
      <c r="G72" s="31">
        <f>C72-E72</f>
        <v>-1.4823529410000003</v>
      </c>
      <c r="H72" s="31">
        <f>B72-F72</f>
        <v>-3.606134449999999</v>
      </c>
      <c r="I72" s="31">
        <f t="shared" si="2"/>
        <v>5.3455640075989166</v>
      </c>
      <c r="J72" s="31">
        <f t="shared" si="3"/>
        <v>2.1973702416913503</v>
      </c>
    </row>
    <row r="73" spans="1:10" x14ac:dyDescent="0.25">
      <c r="A73" s="6" t="s">
        <v>847</v>
      </c>
      <c r="B73" s="6">
        <v>85.71</v>
      </c>
      <c r="C73" s="6">
        <v>11.33</v>
      </c>
      <c r="D73" s="25"/>
      <c r="E73" s="30">
        <v>8.8323529409999999</v>
      </c>
      <c r="F73" s="30">
        <v>75.74613445</v>
      </c>
      <c r="G73" s="31">
        <f>C73-E73</f>
        <v>2.4976470590000002</v>
      </c>
      <c r="H73" s="31">
        <f>B73-F73</f>
        <v>9.9638655499999942</v>
      </c>
      <c r="I73" s="31">
        <f t="shared" si="2"/>
        <v>24.886219487228903</v>
      </c>
      <c r="J73" s="31">
        <f t="shared" si="3"/>
        <v>6.2382408313313507</v>
      </c>
    </row>
    <row r="74" spans="1:10" x14ac:dyDescent="0.25">
      <c r="A74" s="6" t="s">
        <v>851</v>
      </c>
      <c r="B74" s="6">
        <v>89.1</v>
      </c>
      <c r="C74" s="6">
        <v>12.12</v>
      </c>
      <c r="D74" s="25"/>
      <c r="E74" s="30">
        <v>8.8323529409999999</v>
      </c>
      <c r="F74" s="30">
        <v>75.74613445</v>
      </c>
      <c r="G74" s="31">
        <f>C74-E74</f>
        <v>3.2876470589999993</v>
      </c>
      <c r="H74" s="31">
        <f>B74-F74</f>
        <v>13.353865549999995</v>
      </c>
      <c r="I74" s="31">
        <f t="shared" si="2"/>
        <v>43.902796801738894</v>
      </c>
      <c r="J74" s="31">
        <f t="shared" si="3"/>
        <v>10.808623184551346</v>
      </c>
    </row>
    <row r="75" spans="1:10" x14ac:dyDescent="0.25">
      <c r="A75" s="6" t="s">
        <v>856</v>
      </c>
      <c r="B75" s="6">
        <v>71.489999999999995</v>
      </c>
      <c r="C75" s="6">
        <v>7.9</v>
      </c>
      <c r="D75" s="25"/>
      <c r="E75" s="30">
        <v>8.8323529409999999</v>
      </c>
      <c r="F75" s="30">
        <v>75.74613445</v>
      </c>
      <c r="G75" s="31">
        <f>C75-E75</f>
        <v>-0.93235294099999955</v>
      </c>
      <c r="H75" s="31">
        <f>B75-F75</f>
        <v>-4.2561344500000047</v>
      </c>
      <c r="I75" s="31">
        <f t="shared" si="2"/>
        <v>3.9682194717489199</v>
      </c>
      <c r="J75" s="31">
        <f t="shared" si="3"/>
        <v>0.86928200659134869</v>
      </c>
    </row>
    <row r="76" spans="1:10" x14ac:dyDescent="0.25">
      <c r="A76" s="6" t="s">
        <v>860</v>
      </c>
      <c r="B76" s="6">
        <v>73.7</v>
      </c>
      <c r="C76" s="6">
        <v>7.8</v>
      </c>
      <c r="D76" s="25"/>
      <c r="E76" s="30">
        <v>8.8323529409999999</v>
      </c>
      <c r="F76" s="30">
        <v>75.74613445</v>
      </c>
      <c r="G76" s="31">
        <f>C76-E76</f>
        <v>-1.0323529410000001</v>
      </c>
      <c r="H76" s="31">
        <f>B76-F76</f>
        <v>-2.0461344499999967</v>
      </c>
      <c r="I76" s="31">
        <f t="shared" si="2"/>
        <v>2.112332917138914</v>
      </c>
      <c r="J76" s="31">
        <f t="shared" si="3"/>
        <v>1.0657525947913495</v>
      </c>
    </row>
    <row r="77" spans="1:10" x14ac:dyDescent="0.25">
      <c r="A77" s="6" t="s">
        <v>864</v>
      </c>
      <c r="B77" s="6">
        <v>72.47</v>
      </c>
      <c r="C77" s="6">
        <v>7.92</v>
      </c>
      <c r="D77" s="25"/>
      <c r="E77" s="30">
        <v>8.8323529409999999</v>
      </c>
      <c r="F77" s="30">
        <v>75.74613445</v>
      </c>
      <c r="G77" s="31">
        <f>C77-E77</f>
        <v>-0.91235294099999997</v>
      </c>
      <c r="H77" s="31">
        <f>B77-F77</f>
        <v>-3.2761344500000007</v>
      </c>
      <c r="I77" s="31">
        <f t="shared" si="2"/>
        <v>2.9889909005689179</v>
      </c>
      <c r="J77" s="31">
        <f t="shared" si="3"/>
        <v>0.83238788895134941</v>
      </c>
    </row>
    <row r="78" spans="1:10" x14ac:dyDescent="0.25">
      <c r="A78" s="6" t="s">
        <v>868</v>
      </c>
      <c r="B78" s="6">
        <v>75.13</v>
      </c>
      <c r="C78" s="6">
        <v>8.68</v>
      </c>
      <c r="D78" s="25"/>
      <c r="E78" s="30">
        <v>8.8323529409999999</v>
      </c>
      <c r="F78" s="30">
        <v>75.74613445</v>
      </c>
      <c r="G78" s="31">
        <f>C78-E78</f>
        <v>-0.15235294100000019</v>
      </c>
      <c r="H78" s="31">
        <f>B78-F78</f>
        <v>-0.61613445000000411</v>
      </c>
      <c r="I78" s="31">
        <f t="shared" si="2"/>
        <v>9.3869895508918194E-2</v>
      </c>
      <c r="J78" s="31">
        <f t="shared" si="3"/>
        <v>2.3211418631349536E-2</v>
      </c>
    </row>
    <row r="79" spans="1:10" x14ac:dyDescent="0.25">
      <c r="A79" s="6" t="s">
        <v>871</v>
      </c>
      <c r="B79" s="6">
        <v>73.44</v>
      </c>
      <c r="C79" s="6">
        <v>7.87</v>
      </c>
      <c r="D79" s="25"/>
      <c r="E79" s="30">
        <v>8.8323529409999999</v>
      </c>
      <c r="F79" s="30">
        <v>75.74613445</v>
      </c>
      <c r="G79" s="31">
        <f>C79-E79</f>
        <v>-0.9623529409999998</v>
      </c>
      <c r="H79" s="31">
        <f>B79-F79</f>
        <v>-2.3061344500000018</v>
      </c>
      <c r="I79" s="31">
        <f t="shared" si="2"/>
        <v>2.2193152702989187</v>
      </c>
      <c r="J79" s="31">
        <f t="shared" si="3"/>
        <v>0.92612318305134911</v>
      </c>
    </row>
    <row r="80" spans="1:10" x14ac:dyDescent="0.25">
      <c r="A80" s="6" t="s">
        <v>875</v>
      </c>
      <c r="B80" s="6">
        <v>75.180000000000007</v>
      </c>
      <c r="C80" s="6">
        <v>8.26</v>
      </c>
      <c r="D80" s="25"/>
      <c r="E80" s="30">
        <v>8.8323529409999999</v>
      </c>
      <c r="F80" s="30">
        <v>75.74613445</v>
      </c>
      <c r="G80" s="31">
        <f>C80-E80</f>
        <v>-0.57235294100000011</v>
      </c>
      <c r="H80" s="31">
        <f>B80-F80</f>
        <v>-0.56613444999999274</v>
      </c>
      <c r="I80" s="31">
        <f t="shared" si="2"/>
        <v>0.32402871745891337</v>
      </c>
      <c r="J80" s="31">
        <f t="shared" si="3"/>
        <v>0.32758788907134961</v>
      </c>
    </row>
    <row r="81" spans="1:10" x14ac:dyDescent="0.25">
      <c r="A81" s="6" t="s">
        <v>878</v>
      </c>
      <c r="B81" s="6">
        <v>73.53</v>
      </c>
      <c r="C81" s="6">
        <v>7.8</v>
      </c>
      <c r="D81" s="25"/>
      <c r="E81" s="30">
        <v>8.8323529409999999</v>
      </c>
      <c r="F81" s="30">
        <v>75.74613445</v>
      </c>
      <c r="G81" s="31">
        <f>C81-E81</f>
        <v>-1.0323529410000001</v>
      </c>
      <c r="H81" s="31">
        <f>B81-F81</f>
        <v>-2.2161344499999984</v>
      </c>
      <c r="I81" s="31">
        <f t="shared" si="2"/>
        <v>2.2878329171089158</v>
      </c>
      <c r="J81" s="31">
        <f t="shared" si="3"/>
        <v>1.0657525947913495</v>
      </c>
    </row>
    <row r="82" spans="1:10" x14ac:dyDescent="0.25">
      <c r="A82" s="6" t="s">
        <v>882</v>
      </c>
      <c r="B82" s="6">
        <v>70.31</v>
      </c>
      <c r="C82" s="6">
        <v>7.27</v>
      </c>
      <c r="D82" s="25"/>
      <c r="E82" s="30">
        <v>8.8323529409999999</v>
      </c>
      <c r="F82" s="30">
        <v>75.74613445</v>
      </c>
      <c r="G82" s="31">
        <f>C82-E82</f>
        <v>-1.5623529410000003</v>
      </c>
      <c r="H82" s="31">
        <f>B82-F82</f>
        <v>-5.4361344499999973</v>
      </c>
      <c r="I82" s="31">
        <f t="shared" si="2"/>
        <v>8.4931606456289153</v>
      </c>
      <c r="J82" s="31">
        <f t="shared" si="3"/>
        <v>2.4409467122513506</v>
      </c>
    </row>
    <row r="83" spans="1:10" x14ac:dyDescent="0.25">
      <c r="A83" s="6" t="s">
        <v>885</v>
      </c>
      <c r="B83" s="6">
        <v>70.930000000000007</v>
      </c>
      <c r="C83" s="6">
        <v>6.54</v>
      </c>
      <c r="D83" s="25"/>
      <c r="E83" s="30">
        <v>8.8323529409999999</v>
      </c>
      <c r="F83" s="30">
        <v>75.74613445</v>
      </c>
      <c r="G83" s="31">
        <f>C83-E83</f>
        <v>-2.2923529409999999</v>
      </c>
      <c r="H83" s="31">
        <f>B83-F83</f>
        <v>-4.8161344499999927</v>
      </c>
      <c r="I83" s="31">
        <f t="shared" si="2"/>
        <v>11.0402799707089</v>
      </c>
      <c r="J83" s="31">
        <f t="shared" si="3"/>
        <v>5.254882006111349</v>
      </c>
    </row>
    <row r="84" spans="1:10" x14ac:dyDescent="0.25">
      <c r="A84" s="6" t="s">
        <v>887</v>
      </c>
      <c r="B84" s="6">
        <v>74.3</v>
      </c>
      <c r="C84" s="6">
        <v>7.78</v>
      </c>
      <c r="D84" s="25"/>
      <c r="E84" s="30">
        <v>8.8323529409999999</v>
      </c>
      <c r="F84" s="30">
        <v>75.74613445</v>
      </c>
      <c r="G84" s="31">
        <f>C84-E84</f>
        <v>-1.0523529409999997</v>
      </c>
      <c r="H84" s="31">
        <f>B84-F84</f>
        <v>-1.4461344500000024</v>
      </c>
      <c r="I84" s="31">
        <f t="shared" si="2"/>
        <v>1.5218438415389195</v>
      </c>
      <c r="J84" s="31">
        <f t="shared" si="3"/>
        <v>1.1074467124313487</v>
      </c>
    </row>
    <row r="85" spans="1:10" x14ac:dyDescent="0.25">
      <c r="A85" s="6" t="s">
        <v>891</v>
      </c>
      <c r="B85" s="6">
        <v>71.22</v>
      </c>
      <c r="C85" s="6">
        <v>6.53</v>
      </c>
      <c r="D85" s="25"/>
      <c r="E85" s="30">
        <v>8.8323529409999999</v>
      </c>
      <c r="F85" s="30">
        <v>75.74613445</v>
      </c>
      <c r="G85" s="31">
        <f>C85-E85</f>
        <v>-2.3023529409999997</v>
      </c>
      <c r="H85" s="31">
        <f>B85-F85</f>
        <v>-4.5261344500000007</v>
      </c>
      <c r="I85" s="31">
        <f t="shared" si="2"/>
        <v>10.420758962318917</v>
      </c>
      <c r="J85" s="31">
        <f t="shared" si="3"/>
        <v>5.3008290649313476</v>
      </c>
    </row>
    <row r="86" spans="1:10" x14ac:dyDescent="0.25">
      <c r="A86" s="6" t="s">
        <v>895</v>
      </c>
      <c r="B86" s="6">
        <v>71.22</v>
      </c>
      <c r="C86" s="6">
        <v>6.93</v>
      </c>
      <c r="D86" s="25"/>
      <c r="E86" s="30">
        <v>8.8323529409999999</v>
      </c>
      <c r="F86" s="30">
        <v>75.74613445</v>
      </c>
      <c r="G86" s="31">
        <f>C86-E86</f>
        <v>-1.9023529410000002</v>
      </c>
      <c r="H86" s="31">
        <f>B86-F86</f>
        <v>-4.5261344500000007</v>
      </c>
      <c r="I86" s="31">
        <f t="shared" si="2"/>
        <v>8.6103051823189194</v>
      </c>
      <c r="J86" s="31">
        <f t="shared" si="3"/>
        <v>3.6189467121313501</v>
      </c>
    </row>
    <row r="87" spans="1:10" x14ac:dyDescent="0.25">
      <c r="A87" s="6" t="s">
        <v>898</v>
      </c>
      <c r="B87" s="6">
        <v>70.849999999999994</v>
      </c>
      <c r="C87" s="6">
        <v>6.31</v>
      </c>
      <c r="D87" s="25"/>
      <c r="E87" s="30">
        <v>8.8323529409999999</v>
      </c>
      <c r="F87" s="30">
        <v>75.74613445</v>
      </c>
      <c r="G87" s="31">
        <f>C87-E87</f>
        <v>-2.5223529410000003</v>
      </c>
      <c r="H87" s="31">
        <f>B87-F87</f>
        <v>-4.8961344500000052</v>
      </c>
      <c r="I87" s="31">
        <f t="shared" si="2"/>
        <v>12.349779129488931</v>
      </c>
      <c r="J87" s="31">
        <f t="shared" si="3"/>
        <v>6.362264358971351</v>
      </c>
    </row>
    <row r="88" spans="1:10" x14ac:dyDescent="0.25">
      <c r="A88" s="6" t="s">
        <v>901</v>
      </c>
      <c r="B88" s="6">
        <v>72.36</v>
      </c>
      <c r="C88" s="6">
        <v>7.46</v>
      </c>
      <c r="D88" s="25"/>
      <c r="E88" s="30">
        <v>8.8323529409999999</v>
      </c>
      <c r="F88" s="30">
        <v>75.74613445</v>
      </c>
      <c r="G88" s="31">
        <f>C88-E88</f>
        <v>-1.3723529409999999</v>
      </c>
      <c r="H88" s="31">
        <f>B88-F88</f>
        <v>-3.3861344500000001</v>
      </c>
      <c r="I88" s="31">
        <f t="shared" si="2"/>
        <v>4.6469715710789172</v>
      </c>
      <c r="J88" s="31">
        <f t="shared" si="3"/>
        <v>1.8833525946713494</v>
      </c>
    </row>
    <row r="89" spans="1:10" x14ac:dyDescent="0.25">
      <c r="A89" s="6" t="s">
        <v>903</v>
      </c>
      <c r="B89" s="6">
        <v>82.67</v>
      </c>
      <c r="C89" s="6">
        <v>10.91</v>
      </c>
      <c r="D89" s="25"/>
      <c r="E89" s="30">
        <v>8.8323529409999999</v>
      </c>
      <c r="F89" s="30">
        <v>75.74613445</v>
      </c>
      <c r="G89" s="31">
        <f>C89-E89</f>
        <v>2.0776470590000002</v>
      </c>
      <c r="H89" s="31">
        <f>B89-F89</f>
        <v>6.9238655500000021</v>
      </c>
      <c r="I89" s="31">
        <f t="shared" si="2"/>
        <v>14.385348896868923</v>
      </c>
      <c r="J89" s="31">
        <f t="shared" si="3"/>
        <v>4.3166173017713501</v>
      </c>
    </row>
    <row r="90" spans="1:10" x14ac:dyDescent="0.25">
      <c r="A90" s="6" t="s">
        <v>907</v>
      </c>
      <c r="B90" s="6">
        <v>76.69</v>
      </c>
      <c r="C90" s="6">
        <v>9.1300000000000008</v>
      </c>
      <c r="D90" s="25"/>
      <c r="E90" s="30">
        <v>8.8323529409999999</v>
      </c>
      <c r="F90" s="30">
        <v>75.74613445</v>
      </c>
      <c r="G90" s="31">
        <f>C90-E90</f>
        <v>0.29764705900000088</v>
      </c>
      <c r="H90" s="31">
        <f>B90-F90</f>
        <v>0.94386554999999817</v>
      </c>
      <c r="I90" s="31">
        <f t="shared" si="2"/>
        <v>0.28093880504891772</v>
      </c>
      <c r="J90" s="31">
        <f t="shared" si="3"/>
        <v>8.859377173135001E-2</v>
      </c>
    </row>
    <row r="91" spans="1:10" x14ac:dyDescent="0.25">
      <c r="A91" s="6" t="s">
        <v>911</v>
      </c>
      <c r="B91" s="6">
        <v>75.67</v>
      </c>
      <c r="C91" s="6">
        <v>8.7799999999999994</v>
      </c>
      <c r="D91" s="25"/>
      <c r="E91" s="30">
        <v>8.8323529409999999</v>
      </c>
      <c r="F91" s="30">
        <v>75.74613445</v>
      </c>
      <c r="G91" s="31">
        <f>C91-E91</f>
        <v>-5.2352941000000541E-2</v>
      </c>
      <c r="H91" s="31">
        <f>B91-F91</f>
        <v>-7.6134449999997855E-2</v>
      </c>
      <c r="I91" s="31">
        <f t="shared" si="2"/>
        <v>3.985862368917379E-3</v>
      </c>
      <c r="J91" s="31">
        <f t="shared" si="3"/>
        <v>2.7408304313495378E-3</v>
      </c>
    </row>
    <row r="92" spans="1:10" x14ac:dyDescent="0.25">
      <c r="A92" s="6" t="s">
        <v>914</v>
      </c>
      <c r="B92" s="6">
        <v>75.239999999999995</v>
      </c>
      <c r="C92" s="6">
        <v>8.25</v>
      </c>
      <c r="D92" s="25"/>
      <c r="E92" s="30">
        <v>8.8323529409999999</v>
      </c>
      <c r="F92" s="30">
        <v>75.74613445</v>
      </c>
      <c r="G92" s="31">
        <f>C92-E92</f>
        <v>-0.5823529409999999</v>
      </c>
      <c r="H92" s="31">
        <f>B92-F92</f>
        <v>-0.50613445000000468</v>
      </c>
      <c r="I92" s="31">
        <f t="shared" si="2"/>
        <v>0.29474888549892014</v>
      </c>
      <c r="J92" s="31">
        <f t="shared" si="3"/>
        <v>0.33913494789134935</v>
      </c>
    </row>
    <row r="93" spans="1:10" x14ac:dyDescent="0.25">
      <c r="A93" s="6" t="s">
        <v>918</v>
      </c>
      <c r="B93" s="6">
        <v>74.81</v>
      </c>
      <c r="C93" s="6">
        <v>8.1999999999999993</v>
      </c>
      <c r="D93" s="25"/>
      <c r="E93" s="30">
        <v>8.8323529409999999</v>
      </c>
      <c r="F93" s="30">
        <v>75.74613445</v>
      </c>
      <c r="G93" s="31">
        <f>C93-E93</f>
        <v>-0.63235294100000061</v>
      </c>
      <c r="H93" s="31">
        <f>B93-F93</f>
        <v>-0.93613444999999729</v>
      </c>
      <c r="I93" s="31">
        <f t="shared" si="2"/>
        <v>0.5919673726289163</v>
      </c>
      <c r="J93" s="31">
        <f t="shared" si="3"/>
        <v>0.39987024199135024</v>
      </c>
    </row>
    <row r="94" spans="1:10" x14ac:dyDescent="0.25">
      <c r="A94" s="6" t="s">
        <v>921</v>
      </c>
      <c r="B94" s="6">
        <v>76.77</v>
      </c>
      <c r="C94" s="6">
        <v>8.69</v>
      </c>
      <c r="D94" s="25"/>
      <c r="E94" s="30">
        <v>8.8323529409999999</v>
      </c>
      <c r="F94" s="30">
        <v>75.74613445</v>
      </c>
      <c r="G94" s="31">
        <f>C94-E94</f>
        <v>-0.1423529410000004</v>
      </c>
      <c r="H94" s="31">
        <f>B94-F94</f>
        <v>1.0238655499999965</v>
      </c>
      <c r="I94" s="31">
        <f t="shared" si="2"/>
        <v>-0.14575027223108245</v>
      </c>
      <c r="J94" s="31">
        <f t="shared" si="3"/>
        <v>2.0264359811349594E-2</v>
      </c>
    </row>
    <row r="95" spans="1:10" x14ac:dyDescent="0.25">
      <c r="A95" s="6" t="s">
        <v>924</v>
      </c>
      <c r="B95" s="6">
        <v>73.91</v>
      </c>
      <c r="C95" s="6">
        <v>7.84</v>
      </c>
      <c r="D95" s="25"/>
      <c r="E95" s="30">
        <v>8.8323529409999999</v>
      </c>
      <c r="F95" s="30">
        <v>75.74613445</v>
      </c>
      <c r="G95" s="31">
        <f>C95-E95</f>
        <v>-0.99235294100000004</v>
      </c>
      <c r="H95" s="31">
        <f>B95-F95</f>
        <v>-1.836134450000003</v>
      </c>
      <c r="I95" s="31">
        <f t="shared" si="2"/>
        <v>1.8220934215289204</v>
      </c>
      <c r="J95" s="31">
        <f t="shared" si="3"/>
        <v>0.98476435951134955</v>
      </c>
    </row>
    <row r="96" spans="1:10" x14ac:dyDescent="0.25">
      <c r="A96" s="6" t="s">
        <v>927</v>
      </c>
      <c r="B96" s="6">
        <v>72.75</v>
      </c>
      <c r="C96" s="6">
        <v>7.59</v>
      </c>
      <c r="D96" s="25"/>
      <c r="E96" s="30">
        <v>8.8323529409999999</v>
      </c>
      <c r="F96" s="30">
        <v>75.74613445</v>
      </c>
      <c r="G96" s="31">
        <f>C96-E96</f>
        <v>-1.242352941</v>
      </c>
      <c r="H96" s="31">
        <f>B96-F96</f>
        <v>-2.9961344499999996</v>
      </c>
      <c r="I96" s="31">
        <f t="shared" si="2"/>
        <v>3.7222564455889171</v>
      </c>
      <c r="J96" s="31">
        <f t="shared" si="3"/>
        <v>1.5434408300113496</v>
      </c>
    </row>
    <row r="97" spans="1:10" x14ac:dyDescent="0.25">
      <c r="A97" s="6" t="s">
        <v>931</v>
      </c>
      <c r="B97" s="6">
        <v>72.31</v>
      </c>
      <c r="C97" s="6">
        <v>7.53</v>
      </c>
      <c r="D97" s="25"/>
      <c r="E97" s="30">
        <v>8.8323529409999999</v>
      </c>
      <c r="F97" s="30">
        <v>75.74613445</v>
      </c>
      <c r="G97" s="31">
        <f>C97-E97</f>
        <v>-1.3023529409999997</v>
      </c>
      <c r="H97" s="31">
        <f>B97-F97</f>
        <v>-3.4361344499999973</v>
      </c>
      <c r="I97" s="31">
        <f t="shared" si="2"/>
        <v>4.4750598066289129</v>
      </c>
      <c r="J97" s="31">
        <f t="shared" si="3"/>
        <v>1.6961231829313486</v>
      </c>
    </row>
    <row r="98" spans="1:10" x14ac:dyDescent="0.25">
      <c r="A98" s="6" t="s">
        <v>935</v>
      </c>
      <c r="B98" s="6">
        <v>75.900000000000006</v>
      </c>
      <c r="C98" s="6">
        <v>8.48</v>
      </c>
      <c r="D98" s="25"/>
      <c r="E98" s="30">
        <v>8.8323529409999999</v>
      </c>
      <c r="F98" s="30">
        <v>75.74613445</v>
      </c>
      <c r="G98" s="31">
        <f>C98-E98</f>
        <v>-0.35235294099999948</v>
      </c>
      <c r="H98" s="31">
        <f>B98-F98</f>
        <v>0.15386555000000612</v>
      </c>
      <c r="I98" s="31">
        <f t="shared" si="2"/>
        <v>-5.4214979061084627E-2</v>
      </c>
      <c r="J98" s="31">
        <f t="shared" si="3"/>
        <v>0.12415259503134911</v>
      </c>
    </row>
    <row r="99" spans="1:10" x14ac:dyDescent="0.25">
      <c r="A99" s="6" t="s">
        <v>939</v>
      </c>
      <c r="B99" s="6">
        <v>78.930000000000007</v>
      </c>
      <c r="C99" s="6">
        <v>10.029999999999999</v>
      </c>
      <c r="D99" s="25"/>
      <c r="E99" s="30">
        <v>8.8323529409999999</v>
      </c>
      <c r="F99" s="30">
        <v>75.74613445</v>
      </c>
      <c r="G99" s="31">
        <f>C99-E99</f>
        <v>1.1976470589999995</v>
      </c>
      <c r="H99" s="31">
        <f>B99-F99</f>
        <v>3.1838655500000073</v>
      </c>
      <c r="I99" s="31">
        <f t="shared" si="2"/>
        <v>3.8131472122089245</v>
      </c>
      <c r="J99" s="31">
        <f t="shared" si="3"/>
        <v>1.4343584779313481</v>
      </c>
    </row>
    <row r="100" spans="1:10" x14ac:dyDescent="0.25">
      <c r="A100" s="6" t="s">
        <v>943</v>
      </c>
      <c r="B100" s="6">
        <v>67.33</v>
      </c>
      <c r="C100" s="6">
        <v>6.01</v>
      </c>
      <c r="D100" s="25"/>
      <c r="E100" s="30">
        <v>8.8323529409999999</v>
      </c>
      <c r="F100" s="30">
        <v>75.74613445</v>
      </c>
      <c r="G100" s="31">
        <f>C100-E100</f>
        <v>-2.8223529410000001</v>
      </c>
      <c r="H100" s="31">
        <f>B100-F100</f>
        <v>-8.4161344500000013</v>
      </c>
      <c r="I100" s="31">
        <f t="shared" si="2"/>
        <v>23.753301816808921</v>
      </c>
      <c r="J100" s="31">
        <f t="shared" si="3"/>
        <v>7.9656761235713498</v>
      </c>
    </row>
    <row r="101" spans="1:10" x14ac:dyDescent="0.25">
      <c r="A101" s="6" t="s">
        <v>946</v>
      </c>
      <c r="B101" s="6">
        <v>66.72</v>
      </c>
      <c r="C101" s="6">
        <v>5.08</v>
      </c>
      <c r="D101" s="25"/>
      <c r="E101" s="30">
        <v>8.8323529409999999</v>
      </c>
      <c r="F101" s="30">
        <v>75.74613445</v>
      </c>
      <c r="G101" s="31">
        <f>C101-E101</f>
        <v>-3.7523529409999998</v>
      </c>
      <c r="H101" s="31">
        <f>B101-F101</f>
        <v>-9.0261344500000007</v>
      </c>
      <c r="I101" s="31">
        <f t="shared" si="2"/>
        <v>33.869242149318922</v>
      </c>
      <c r="J101" s="31">
        <f t="shared" si="3"/>
        <v>14.080152593831349</v>
      </c>
    </row>
    <row r="102" spans="1:10" x14ac:dyDescent="0.25">
      <c r="A102" s="6" t="s">
        <v>949</v>
      </c>
      <c r="B102" s="6">
        <v>70.849999999999994</v>
      </c>
      <c r="C102" s="6">
        <v>7.17</v>
      </c>
      <c r="D102" s="25"/>
      <c r="E102" s="30">
        <v>8.8323529409999999</v>
      </c>
      <c r="F102" s="30">
        <v>75.74613445</v>
      </c>
      <c r="G102" s="31">
        <f>C102-E102</f>
        <v>-1.662352941</v>
      </c>
      <c r="H102" s="31">
        <f>B102-F102</f>
        <v>-4.8961344500000052</v>
      </c>
      <c r="I102" s="31">
        <f t="shared" si="2"/>
        <v>8.1391035024889256</v>
      </c>
      <c r="J102" s="31">
        <f t="shared" si="3"/>
        <v>2.7634173004513496</v>
      </c>
    </row>
    <row r="103" spans="1:10" x14ac:dyDescent="0.25">
      <c r="A103" s="6" t="s">
        <v>952</v>
      </c>
      <c r="B103" s="6">
        <v>69.78</v>
      </c>
      <c r="C103" s="6">
        <v>6.1</v>
      </c>
      <c r="D103" s="25"/>
      <c r="E103" s="30">
        <v>8.8323529409999999</v>
      </c>
      <c r="F103" s="30">
        <v>75.74613445</v>
      </c>
      <c r="G103" s="31">
        <f>C103-E103</f>
        <v>-2.7323529410000003</v>
      </c>
      <c r="H103" s="31">
        <f>B103-F103</f>
        <v>-5.9661344499999984</v>
      </c>
      <c r="I103" s="31">
        <f t="shared" si="2"/>
        <v>16.301585010858915</v>
      </c>
      <c r="J103" s="31">
        <f t="shared" si="3"/>
        <v>7.4657525941913505</v>
      </c>
    </row>
    <row r="104" spans="1:10" x14ac:dyDescent="0.25">
      <c r="A104" s="6" t="s">
        <v>956</v>
      </c>
      <c r="B104" s="6">
        <v>81.88</v>
      </c>
      <c r="C104" s="6">
        <v>10.92</v>
      </c>
      <c r="D104" s="25"/>
      <c r="E104" s="30">
        <v>8.8323529409999999</v>
      </c>
      <c r="F104" s="30">
        <v>75.74613445</v>
      </c>
      <c r="G104" s="31">
        <f>C104-E104</f>
        <v>2.087647059</v>
      </c>
      <c r="H104" s="31">
        <f>B104-F104</f>
        <v>6.1338655499999959</v>
      </c>
      <c r="I104" s="31">
        <f t="shared" si="2"/>
        <v>12.805346375758909</v>
      </c>
      <c r="J104" s="31">
        <f t="shared" si="3"/>
        <v>4.3582702429513498</v>
      </c>
    </row>
    <row r="105" spans="1:10" x14ac:dyDescent="0.25">
      <c r="A105" s="6" t="s">
        <v>960</v>
      </c>
      <c r="B105" s="6">
        <v>81.44</v>
      </c>
      <c r="C105" s="6">
        <v>10.82</v>
      </c>
      <c r="D105" s="25"/>
      <c r="E105" s="30">
        <v>8.8323529409999999</v>
      </c>
      <c r="F105" s="30">
        <v>75.74613445</v>
      </c>
      <c r="G105" s="31">
        <f>C105-E105</f>
        <v>1.9876470590000004</v>
      </c>
      <c r="H105" s="31">
        <f>B105-F105</f>
        <v>5.6938655499999982</v>
      </c>
      <c r="I105" s="31">
        <f t="shared" si="2"/>
        <v>11.317395114798916</v>
      </c>
      <c r="J105" s="31">
        <f t="shared" si="3"/>
        <v>3.950740831151351</v>
      </c>
    </row>
    <row r="106" spans="1:10" x14ac:dyDescent="0.25">
      <c r="A106" s="6" t="s">
        <v>964</v>
      </c>
      <c r="B106" s="6">
        <v>84.68</v>
      </c>
      <c r="C106" s="6">
        <v>11.14</v>
      </c>
      <c r="D106" s="25"/>
      <c r="E106" s="30">
        <v>8.8323529409999999</v>
      </c>
      <c r="F106" s="30">
        <v>75.74613445</v>
      </c>
      <c r="G106" s="31">
        <f>C106-E106</f>
        <v>2.3076470590000007</v>
      </c>
      <c r="H106" s="31">
        <f>B106-F106</f>
        <v>8.9338655500000073</v>
      </c>
      <c r="I106" s="31">
        <f t="shared" si="2"/>
        <v>20.616208561958942</v>
      </c>
      <c r="J106" s="31">
        <f t="shared" si="3"/>
        <v>5.3252349489113522</v>
      </c>
    </row>
    <row r="107" spans="1:10" x14ac:dyDescent="0.25">
      <c r="A107" s="6" t="s">
        <v>968</v>
      </c>
      <c r="B107" s="6">
        <v>77.790000000000006</v>
      </c>
      <c r="C107" s="6">
        <v>9.7200000000000006</v>
      </c>
      <c r="D107" s="25"/>
      <c r="E107" s="30">
        <v>8.8323529409999999</v>
      </c>
      <c r="F107" s="30">
        <v>75.74613445</v>
      </c>
      <c r="G107" s="31">
        <f>C107-E107</f>
        <v>0.88764705900000074</v>
      </c>
      <c r="H107" s="31">
        <f>B107-F107</f>
        <v>2.0438655500000067</v>
      </c>
      <c r="I107" s="31">
        <f t="shared" si="2"/>
        <v>1.8142312444489248</v>
      </c>
      <c r="J107" s="31">
        <f t="shared" si="3"/>
        <v>0.78791730135135074</v>
      </c>
    </row>
    <row r="108" spans="1:10" x14ac:dyDescent="0.25">
      <c r="A108" s="6" t="s">
        <v>971</v>
      </c>
      <c r="B108" s="6">
        <v>78.900000000000006</v>
      </c>
      <c r="C108" s="6">
        <v>9.94</v>
      </c>
      <c r="D108" s="25"/>
      <c r="E108" s="30">
        <v>8.8323529409999999</v>
      </c>
      <c r="F108" s="30">
        <v>75.74613445</v>
      </c>
      <c r="G108" s="31">
        <f>C108-E108</f>
        <v>1.1076470589999996</v>
      </c>
      <c r="H108" s="31">
        <f>B108-F108</f>
        <v>3.1538655500000061</v>
      </c>
      <c r="I108" s="31">
        <f t="shared" si="2"/>
        <v>3.493369900938923</v>
      </c>
      <c r="J108" s="31">
        <f t="shared" si="3"/>
        <v>1.2268820073113487</v>
      </c>
    </row>
    <row r="109" spans="1:10" x14ac:dyDescent="0.25">
      <c r="A109" s="6" t="s">
        <v>973</v>
      </c>
      <c r="B109" s="6">
        <v>81.760000000000005</v>
      </c>
      <c r="C109" s="6">
        <v>11.38</v>
      </c>
      <c r="D109" s="25"/>
      <c r="E109" s="30">
        <v>8.8323529409999999</v>
      </c>
      <c r="F109" s="30">
        <v>75.74613445</v>
      </c>
      <c r="G109" s="31">
        <f>C109-E109</f>
        <v>2.5476470590000009</v>
      </c>
      <c r="H109" s="31">
        <f>B109-F109</f>
        <v>6.0138655500000056</v>
      </c>
      <c r="I109" s="31">
        <f t="shared" si="2"/>
        <v>15.321206881678936</v>
      </c>
      <c r="J109" s="31">
        <f t="shared" si="3"/>
        <v>6.4905055372313543</v>
      </c>
    </row>
    <row r="110" spans="1:10" x14ac:dyDescent="0.25">
      <c r="A110" s="6" t="s">
        <v>977</v>
      </c>
      <c r="B110" s="6">
        <v>84.51</v>
      </c>
      <c r="C110" s="6">
        <v>12.11</v>
      </c>
      <c r="D110" s="25"/>
      <c r="E110" s="30">
        <v>8.8323529409999999</v>
      </c>
      <c r="F110" s="30">
        <v>75.74613445</v>
      </c>
      <c r="G110" s="31">
        <f>C110-E110</f>
        <v>3.2776470589999995</v>
      </c>
      <c r="H110" s="31">
        <f>B110-F110</f>
        <v>8.7638655500000056</v>
      </c>
      <c r="I110" s="31">
        <f t="shared" si="2"/>
        <v>28.724858145428932</v>
      </c>
      <c r="J110" s="31">
        <f t="shared" si="3"/>
        <v>10.742970243371346</v>
      </c>
    </row>
    <row r="111" spans="1:10" x14ac:dyDescent="0.25">
      <c r="A111" s="6" t="s">
        <v>980</v>
      </c>
      <c r="B111" s="6">
        <v>84.69</v>
      </c>
      <c r="C111" s="6">
        <v>10.89</v>
      </c>
      <c r="D111" s="25"/>
      <c r="E111" s="30">
        <v>8.8323529409999999</v>
      </c>
      <c r="F111" s="30">
        <v>75.74613445</v>
      </c>
      <c r="G111" s="31">
        <f>C111-E111</f>
        <v>2.0576470590000007</v>
      </c>
      <c r="H111" s="31">
        <f>B111-F111</f>
        <v>8.9438655499999982</v>
      </c>
      <c r="I111" s="31">
        <f t="shared" si="2"/>
        <v>18.40331864504892</v>
      </c>
      <c r="J111" s="31">
        <f t="shared" si="3"/>
        <v>4.2339114194113519</v>
      </c>
    </row>
    <row r="112" spans="1:10" x14ac:dyDescent="0.25">
      <c r="A112" s="6" t="s">
        <v>984</v>
      </c>
      <c r="B112" s="6">
        <v>79.69</v>
      </c>
      <c r="C112" s="6">
        <v>9.8699999999999992</v>
      </c>
      <c r="D112" s="25"/>
      <c r="E112" s="30">
        <v>8.8323529409999999</v>
      </c>
      <c r="F112" s="30">
        <v>75.74613445</v>
      </c>
      <c r="G112" s="31">
        <f>C112-E112</f>
        <v>1.0376470589999993</v>
      </c>
      <c r="H112" s="31">
        <f>B112-F112</f>
        <v>3.9438655499999982</v>
      </c>
      <c r="I112" s="31">
        <f t="shared" si="2"/>
        <v>4.0923404890489126</v>
      </c>
      <c r="J112" s="31">
        <f t="shared" si="3"/>
        <v>1.076711419051348</v>
      </c>
    </row>
    <row r="113" spans="1:10" x14ac:dyDescent="0.25">
      <c r="A113" s="6" t="s">
        <v>988</v>
      </c>
      <c r="B113" s="6">
        <v>70.88</v>
      </c>
      <c r="C113" s="6">
        <v>7.16</v>
      </c>
      <c r="D113" s="25"/>
      <c r="E113" s="30">
        <v>8.8323529409999999</v>
      </c>
      <c r="F113" s="30">
        <v>75.74613445</v>
      </c>
      <c r="G113" s="31">
        <f>C113-E113</f>
        <v>-1.6723529409999998</v>
      </c>
      <c r="H113" s="31">
        <f>B113-F113</f>
        <v>-4.8661344500000041</v>
      </c>
      <c r="I113" s="31">
        <f t="shared" si="2"/>
        <v>8.1378942587589229</v>
      </c>
      <c r="J113" s="31">
        <f t="shared" si="3"/>
        <v>2.7967643592713487</v>
      </c>
    </row>
    <row r="114" spans="1:10" x14ac:dyDescent="0.25">
      <c r="A114" s="6" t="s">
        <v>990</v>
      </c>
      <c r="B114" s="6">
        <v>68.33</v>
      </c>
      <c r="C114" s="6">
        <v>6.61</v>
      </c>
      <c r="D114" s="25"/>
      <c r="E114" s="30">
        <v>8.8323529409999999</v>
      </c>
      <c r="F114" s="30">
        <v>75.74613445</v>
      </c>
      <c r="G114" s="31">
        <f>C114-E114</f>
        <v>-2.2223529409999996</v>
      </c>
      <c r="H114" s="31">
        <f>B114-F114</f>
        <v>-7.4161344500000013</v>
      </c>
      <c r="I114" s="31">
        <f t="shared" si="2"/>
        <v>16.481268205808917</v>
      </c>
      <c r="J114" s="31">
        <f t="shared" si="3"/>
        <v>4.9388525943713475</v>
      </c>
    </row>
    <row r="115" spans="1:10" x14ac:dyDescent="0.25">
      <c r="A115" s="6" t="s">
        <v>994</v>
      </c>
      <c r="B115" s="6">
        <v>76.19</v>
      </c>
      <c r="C115" s="6">
        <v>9.06</v>
      </c>
      <c r="D115" s="25"/>
      <c r="E115" s="30">
        <v>8.8323529409999999</v>
      </c>
      <c r="F115" s="30">
        <v>75.74613445</v>
      </c>
      <c r="G115" s="31">
        <f>C115-E115</f>
        <v>0.2276470590000006</v>
      </c>
      <c r="H115" s="31">
        <f>B115-F115</f>
        <v>0.44386554999999817</v>
      </c>
      <c r="I115" s="31">
        <f t="shared" si="2"/>
        <v>0.10104468704891729</v>
      </c>
      <c r="J115" s="31">
        <f t="shared" si="3"/>
        <v>5.1823183471349753E-2</v>
      </c>
    </row>
    <row r="116" spans="1:10" x14ac:dyDescent="0.25">
      <c r="A116" s="6" t="s">
        <v>998</v>
      </c>
      <c r="B116" s="6">
        <v>73.28</v>
      </c>
      <c r="C116" s="6">
        <v>7.88</v>
      </c>
      <c r="D116" s="25"/>
      <c r="E116" s="30">
        <v>8.8323529409999999</v>
      </c>
      <c r="F116" s="30">
        <v>75.74613445</v>
      </c>
      <c r="G116" s="31">
        <f>C116-E116</f>
        <v>-0.95235294100000001</v>
      </c>
      <c r="H116" s="31">
        <f>B116-F116</f>
        <v>-2.4661344499999984</v>
      </c>
      <c r="I116" s="31">
        <f t="shared" si="2"/>
        <v>2.3486303963589159</v>
      </c>
      <c r="J116" s="31">
        <f t="shared" si="3"/>
        <v>0.90697612423134955</v>
      </c>
    </row>
    <row r="117" spans="1:10" x14ac:dyDescent="0.25">
      <c r="A117" s="6" t="s">
        <v>1002</v>
      </c>
      <c r="B117" s="6">
        <v>81.53</v>
      </c>
      <c r="C117" s="6">
        <v>11.14</v>
      </c>
      <c r="D117" s="25"/>
      <c r="E117" s="30">
        <v>8.8323529409999999</v>
      </c>
      <c r="F117" s="30">
        <v>75.74613445</v>
      </c>
      <c r="G117" s="31">
        <f>C117-E117</f>
        <v>2.3076470590000007</v>
      </c>
      <c r="H117" s="31">
        <f>B117-F117</f>
        <v>5.7838655500000016</v>
      </c>
      <c r="I117" s="31">
        <f t="shared" si="2"/>
        <v>13.347120326108925</v>
      </c>
      <c r="J117" s="31">
        <f t="shared" si="3"/>
        <v>5.3252349489113522</v>
      </c>
    </row>
    <row r="118" spans="1:10" x14ac:dyDescent="0.25">
      <c r="A118" s="6" t="s">
        <v>1005</v>
      </c>
      <c r="B118" s="6">
        <v>78.83</v>
      </c>
      <c r="C118" s="6">
        <v>10.39</v>
      </c>
      <c r="D118" s="25"/>
      <c r="E118" s="30">
        <v>8.8323529409999999</v>
      </c>
      <c r="F118" s="30">
        <v>75.74613445</v>
      </c>
      <c r="G118" s="31">
        <f>C118-E118</f>
        <v>1.5576470590000007</v>
      </c>
      <c r="H118" s="31">
        <f>B118-F118</f>
        <v>3.0838655499999987</v>
      </c>
      <c r="I118" s="31">
        <f t="shared" si="2"/>
        <v>4.8035741043089173</v>
      </c>
      <c r="J118" s="31">
        <f t="shared" si="3"/>
        <v>2.4262643604113516</v>
      </c>
    </row>
    <row r="119" spans="1:10" x14ac:dyDescent="0.25">
      <c r="A119" s="6" t="s">
        <v>1009</v>
      </c>
      <c r="B119" s="6">
        <v>76.900000000000006</v>
      </c>
      <c r="C119" s="6">
        <v>8.93</v>
      </c>
      <c r="D119" s="25"/>
      <c r="E119" s="30">
        <v>8.8323529409999999</v>
      </c>
      <c r="F119" s="30">
        <v>75.74613445</v>
      </c>
      <c r="G119" s="31">
        <f>C119-E119</f>
        <v>9.7647058999999814E-2</v>
      </c>
      <c r="H119" s="31">
        <f>B119-F119</f>
        <v>1.1538655500000061</v>
      </c>
      <c r="I119" s="31">
        <f t="shared" si="2"/>
        <v>0.11267157743891783</v>
      </c>
      <c r="J119" s="31">
        <f t="shared" si="3"/>
        <v>9.5349481313494449E-3</v>
      </c>
    </row>
    <row r="120" spans="1:10" x14ac:dyDescent="0.25">
      <c r="A120" s="6" t="s">
        <v>1013</v>
      </c>
      <c r="B120" s="6">
        <v>84.16</v>
      </c>
      <c r="C120" s="6">
        <v>11.86</v>
      </c>
      <c r="D120" s="25"/>
      <c r="E120" s="30">
        <v>8.8323529409999999</v>
      </c>
      <c r="F120" s="30">
        <v>75.74613445</v>
      </c>
      <c r="G120" s="31">
        <f>C120-E120</f>
        <v>3.0276470589999995</v>
      </c>
      <c r="H120" s="31">
        <f>B120-F120</f>
        <v>8.413865549999997</v>
      </c>
      <c r="I120" s="31">
        <f t="shared" si="2"/>
        <v>25.474215287278906</v>
      </c>
      <c r="J120" s="31">
        <f t="shared" si="3"/>
        <v>9.1666467138713461</v>
      </c>
    </row>
    <row r="121" spans="1:10" x14ac:dyDescent="0.25">
      <c r="B121" s="23">
        <f>AVERAGE(B2:B120)</f>
        <v>75.746134453781551</v>
      </c>
      <c r="C121" s="24">
        <f>AVERAGE(C2:C120)</f>
        <v>8.8323529411764667</v>
      </c>
      <c r="D121" s="24"/>
      <c r="I121" s="23">
        <f>SUM(I2:I120)</f>
        <v>917.66998235294091</v>
      </c>
      <c r="J121" s="24">
        <f>SUM(J2:J120)</f>
        <v>319.1921411764705</v>
      </c>
    </row>
    <row r="123" spans="1:10" ht="13.8" x14ac:dyDescent="0.3">
      <c r="I123" s="26" t="s">
        <v>1711</v>
      </c>
      <c r="J123">
        <f>I121/J121</f>
        <v>2.8749767427563082</v>
      </c>
    </row>
    <row r="124" spans="1:10" ht="13.8" x14ac:dyDescent="0.3">
      <c r="I124" s="26" t="s">
        <v>1712</v>
      </c>
      <c r="J124">
        <f>B121-(J123*C121)</f>
        <v>50.353325164083934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zoomScale="69" workbookViewId="0">
      <selection activeCell="G16" sqref="G16"/>
    </sheetView>
  </sheetViews>
  <sheetFormatPr defaultColWidth="12.5546875" defaultRowHeight="15.75" customHeight="1" x14ac:dyDescent="0.25"/>
  <sheetData>
    <row r="1" spans="1:60" ht="42.45" customHeight="1" x14ac:dyDescent="0.25">
      <c r="A1" s="16" t="s">
        <v>0</v>
      </c>
      <c r="B1" s="18" t="s">
        <v>1</v>
      </c>
      <c r="C1" s="13" t="s">
        <v>2</v>
      </c>
      <c r="D1" s="14"/>
      <c r="E1" s="14"/>
      <c r="F1" s="14"/>
      <c r="G1" s="15"/>
      <c r="H1" s="19" t="s">
        <v>3</v>
      </c>
      <c r="I1" s="14"/>
      <c r="J1" s="14"/>
      <c r="K1" s="14"/>
      <c r="L1" s="15"/>
      <c r="M1" s="13" t="s">
        <v>4</v>
      </c>
      <c r="N1" s="14"/>
      <c r="O1" s="14"/>
      <c r="P1" s="14"/>
      <c r="Q1" s="15"/>
      <c r="R1" s="20" t="s">
        <v>5</v>
      </c>
      <c r="S1" s="14"/>
      <c r="T1" s="14"/>
      <c r="U1" s="14"/>
      <c r="V1" s="15"/>
      <c r="W1" s="21" t="s">
        <v>6</v>
      </c>
      <c r="X1" s="14"/>
      <c r="Y1" s="14"/>
      <c r="Z1" s="14"/>
      <c r="AA1" s="15"/>
      <c r="AB1" s="22" t="s">
        <v>7</v>
      </c>
      <c r="AC1" s="14"/>
      <c r="AD1" s="15"/>
      <c r="AE1" s="13" t="s">
        <v>8</v>
      </c>
      <c r="AF1" s="14"/>
      <c r="AG1" s="14"/>
      <c r="AH1" s="14"/>
      <c r="AI1" s="15"/>
      <c r="AJ1" s="20" t="s">
        <v>9</v>
      </c>
      <c r="AK1" s="14"/>
      <c r="AL1" s="14"/>
      <c r="AM1" s="14"/>
      <c r="AN1" s="15"/>
      <c r="AO1" s="13" t="s">
        <v>10</v>
      </c>
      <c r="AP1" s="14"/>
      <c r="AQ1" s="14"/>
      <c r="AR1" s="14"/>
      <c r="AS1" s="15"/>
      <c r="AT1" s="20" t="s">
        <v>11</v>
      </c>
      <c r="AU1" s="14"/>
      <c r="AV1" s="14"/>
      <c r="AW1" s="14"/>
      <c r="AX1" s="15"/>
      <c r="AY1" s="13" t="s">
        <v>12</v>
      </c>
      <c r="AZ1" s="14"/>
      <c r="BA1" s="14"/>
      <c r="BB1" s="14"/>
      <c r="BC1" s="15"/>
      <c r="BD1" s="1"/>
      <c r="BE1" s="2"/>
      <c r="BF1" s="2"/>
      <c r="BG1" s="2"/>
      <c r="BH1" s="2"/>
    </row>
    <row r="2" spans="1:60" ht="13.2" x14ac:dyDescent="0.25">
      <c r="A2" s="17"/>
      <c r="B2" s="17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3.2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3.2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3.2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3.2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3.2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3.2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3.2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3.2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3.2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3.2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3.2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3.2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3.2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3.2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3.2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3.2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3.2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3.2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3.2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3.2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3.2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3.2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3.2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3.2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3.2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3.2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3.2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3.2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3.2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3.2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3.2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3.2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3.2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3.2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3.2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3.2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3.2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3.2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3.2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3.2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3.2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3.2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3.2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3.2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3.2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3.2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3.2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3.2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3.2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3.2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3.2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3.2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3.2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3.2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3.2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3.2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3.2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3.2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3.2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3.2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3.2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3.2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3.2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3.2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3.2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3.2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3.2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3.2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3.2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3.2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3.2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3.2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3.2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3.2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3.2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3.2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3.2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3.2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3.2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3.2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3.2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3.2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3.2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3.2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3.2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3.2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3.2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3.2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3.2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3.2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3.2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3.2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3.2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3.2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3.2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3.2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3.2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3.2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3.2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3.2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3.2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3.2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3.2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3.2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3.2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3.2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3.2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3.2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3.2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3.2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3.2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3.2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3.2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3.2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3.2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3.2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3.2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3.2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3.2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3.2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3.2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3.2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3.2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3.2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3.2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3.2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3.2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3.2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3.2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3.2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3.2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3.2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3.2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3.2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3.2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3.2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3.2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3.2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3.2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3.2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3.2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3.2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3.2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3.2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3.2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3.2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3.2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3.2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3.2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3.2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3.2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3.2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3.2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3.2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3.2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3.2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3.2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3.2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3.2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3.2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3.2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3.2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3.2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3.2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3.2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3.2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3.2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3.2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3.2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3.2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3.2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3.2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3.2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3.2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3.2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3.2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3.2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3.2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3.2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3.2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3.2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3.2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3.2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3.2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3.2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3.2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3.2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3.2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3.2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3.2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3.2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3.2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3.2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3.2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3.2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3.2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3.2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3.2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3.2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3.2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3.2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3.2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3.2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3.2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3.2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3.2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3.2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3.2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3.2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3.2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3.2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3.2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3.2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3.2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3.2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3.2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3.2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3.2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3.2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3.2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3.2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3.2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3.2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3.2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3.2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3.2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3.2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3.2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3.2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3.2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3.2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3.2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3.2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3.2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3.2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3.2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3.2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3.2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3.2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3.2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3.2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3.2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3.2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3.2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3.2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3.2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3.2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3.2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3.2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3.2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3.2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3.2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3.2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3.2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3.2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3.2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3.2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3.2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3.2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3.2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3.2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3.2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3.2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3.2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3.2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3.2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3.2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3.2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3.2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3.2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3.2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3.2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3.2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3.2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3.2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3.2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3.2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3.2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3.2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3.2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3.2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3.2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3.2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3.2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3.2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3.2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3.2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3.2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3.2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3.2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3.2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3.2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3.2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3.2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6" x14ac:dyDescent="0.3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6" x14ac:dyDescent="0.3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6" x14ac:dyDescent="0.3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6" x14ac:dyDescent="0.3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6" x14ac:dyDescent="0.3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6" x14ac:dyDescent="0.3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6" x14ac:dyDescent="0.3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6" x14ac:dyDescent="0.3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6" x14ac:dyDescent="0.3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6" x14ac:dyDescent="0.3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6" x14ac:dyDescent="0.3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6" x14ac:dyDescent="0.3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6" x14ac:dyDescent="0.3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6" x14ac:dyDescent="0.3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3.2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3.2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3.2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3.2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3.2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3.2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3.2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3.2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3.2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3.2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3.2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3.2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3.2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3.2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3.2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3.2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3.2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3.2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3.2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3.2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3.2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3.2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3.2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3.2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3.2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3.2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3.2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3.2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3.2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3.2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3.2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3.2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3.2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3.2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3.2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3.2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3.2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3.2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3.2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3.2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3.2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3.2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3.2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3.2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3.2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3.2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3.2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3.2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3.2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3.2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3.2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3.2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3.2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3.2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3.2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3.2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3.2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3.2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3.2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3.2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3.2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3.2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3.2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3.2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3.2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3.2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3.2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3.2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3.2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3.2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3.2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3.2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3.2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3.2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3.2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3.2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3.2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3.2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3.2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3.2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3.2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3.2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3.2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3.2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3.2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3.2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3.2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3.2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3.2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3.2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3.2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3.2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3.2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3.2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3.2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3.2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3.2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3.2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3.2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3.2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3.2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3.2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3.2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3.2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3.2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3.2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3.2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3.2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3.2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3.2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3.2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3.2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3.2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3.2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3.2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3.2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3.2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3.2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3.2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3.2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3.2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3.2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3.2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3.2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3.2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3.2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3.2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3.2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3.2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3.2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3.2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3.2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3.2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3.2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3.2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3.2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3.2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3.2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3.2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3.2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3.2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3.2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3.2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3.2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3.2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3.2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3.2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3.2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3.2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3.2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3.2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3.2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3.2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3.2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3.2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3.2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3.2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3.2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3.2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3.2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3.2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3.2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3.2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3.2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3.2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3.2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3.2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3.2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3.2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3.2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3.2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3.2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3.2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3.2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3.2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3.2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3.2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3.2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3.2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3.2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3.2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3.2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3.2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3.2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3.2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3.2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Tita .</cp:lastModifiedBy>
  <dcterms:modified xsi:type="dcterms:W3CDTF">2026-02-04T04:32:04Z</dcterms:modified>
</cp:coreProperties>
</file>